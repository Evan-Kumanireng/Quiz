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60" yWindow="435" windowWidth="19875" windowHeight="6960"/>
  </bookViews>
  <sheets>
    <sheet name="Sheet1" sheetId="1" r:id="rId1"/>
    <sheet name="Sheet2" sheetId="2" r:id="rId2"/>
    <sheet name="Sheet3" sheetId="3" r:id="rId3"/>
  </sheets>
  <calcPr calcId="125725"/>
</workbook>
</file>

<file path=xl/calcChain.xml><?xml version="1.0" encoding="utf-8"?>
<calcChain xmlns="http://schemas.openxmlformats.org/spreadsheetml/2006/main">
  <c r="C6" i="2"/>
  <c r="M2" i="1"/>
  <c r="M1"/>
  <c r="AD6"/>
  <c r="AD7"/>
  <c r="AD8"/>
  <c r="AD9"/>
  <c r="AD10"/>
  <c r="AD11"/>
  <c r="AD12"/>
  <c r="AD13"/>
  <c r="AD14"/>
  <c r="AD15"/>
  <c r="AD16"/>
  <c r="AD17"/>
  <c r="AD18"/>
  <c r="AD19"/>
  <c r="AD20"/>
  <c r="AD21"/>
  <c r="AD22"/>
  <c r="AD23"/>
  <c r="AD24"/>
  <c r="AD25"/>
  <c r="AD26"/>
  <c r="AD27"/>
  <c r="AD28"/>
  <c r="AD30"/>
  <c r="AD31"/>
  <c r="AD32"/>
  <c r="AD33"/>
  <c r="AD34"/>
  <c r="AD35"/>
  <c r="AD36"/>
  <c r="AD37"/>
  <c r="AD38"/>
  <c r="AD39"/>
  <c r="AD40"/>
  <c r="AD41"/>
  <c r="AD42"/>
  <c r="AD43"/>
  <c r="AD44"/>
  <c r="AD45"/>
  <c r="AD46"/>
  <c r="AD47"/>
  <c r="AD48"/>
  <c r="AD49"/>
  <c r="AD50"/>
  <c r="AD51"/>
  <c r="AD52"/>
  <c r="AD53"/>
  <c r="AD54"/>
  <c r="AD55"/>
  <c r="AD56"/>
  <c r="AD57"/>
  <c r="AD58"/>
  <c r="AD59"/>
  <c r="AD60"/>
  <c r="AD61"/>
  <c r="AD62"/>
  <c r="AD63"/>
  <c r="AD64"/>
  <c r="AD65"/>
  <c r="AD66"/>
  <c r="AD67"/>
  <c r="AD68"/>
  <c r="AD69"/>
  <c r="AD70"/>
  <c r="AD71"/>
  <c r="AD72"/>
  <c r="AD73"/>
  <c r="AD74"/>
  <c r="AD75"/>
  <c r="AD76"/>
  <c r="AD77"/>
  <c r="AD78"/>
  <c r="AD79"/>
  <c r="AD80"/>
  <c r="AD81"/>
  <c r="AD82"/>
  <c r="AD83"/>
  <c r="AD84"/>
  <c r="AD85"/>
  <c r="AD86"/>
  <c r="AD87"/>
  <c r="AD88"/>
  <c r="AD89"/>
  <c r="AD90"/>
  <c r="AD91"/>
  <c r="AD92"/>
  <c r="AD93"/>
  <c r="AD94"/>
  <c r="AD95"/>
  <c r="AD96"/>
  <c r="AD97"/>
  <c r="AD98"/>
  <c r="AD99"/>
  <c r="AD100"/>
  <c r="AD101"/>
  <c r="AD102"/>
  <c r="AD103"/>
  <c r="AD104"/>
  <c r="AD105"/>
  <c r="AD106"/>
  <c r="AD107"/>
  <c r="AD108"/>
  <c r="AD109"/>
  <c r="AD110"/>
  <c r="AD111"/>
  <c r="AD112"/>
  <c r="AD113"/>
  <c r="AD114"/>
  <c r="AD115"/>
  <c r="AD116"/>
  <c r="AD117"/>
  <c r="AD118"/>
  <c r="AD119"/>
  <c r="AD120"/>
  <c r="AD121"/>
  <c r="AD122"/>
  <c r="AD123"/>
  <c r="AD124"/>
  <c r="AD125"/>
  <c r="AD126"/>
  <c r="AD127"/>
  <c r="AD128"/>
  <c r="AD129"/>
  <c r="AD130"/>
  <c r="AD131"/>
  <c r="AD132"/>
  <c r="AD133"/>
  <c r="AD134"/>
  <c r="AD135"/>
  <c r="AD136"/>
  <c r="AD137"/>
  <c r="AD138"/>
  <c r="AD139"/>
  <c r="AD140"/>
  <c r="AD141"/>
  <c r="AD142"/>
  <c r="AD143"/>
  <c r="AD144"/>
  <c r="AD145"/>
  <c r="AD146"/>
  <c r="AD147"/>
  <c r="AD148"/>
  <c r="AD149"/>
  <c r="AD150"/>
  <c r="AD151"/>
  <c r="AD152"/>
  <c r="AD153"/>
  <c r="AD154"/>
  <c r="AD155"/>
  <c r="AD156"/>
  <c r="AD157"/>
  <c r="AD158"/>
  <c r="AD159"/>
  <c r="AD160"/>
  <c r="AD161"/>
  <c r="AD162"/>
  <c r="AD163"/>
  <c r="AD164"/>
  <c r="AD165"/>
  <c r="AD166"/>
  <c r="AD167"/>
  <c r="AD168"/>
  <c r="AD169"/>
  <c r="AD170"/>
  <c r="AD171"/>
  <c r="AD172"/>
  <c r="AD173"/>
  <c r="AD174"/>
  <c r="AD175"/>
  <c r="AD176"/>
  <c r="AD177"/>
  <c r="AD178"/>
  <c r="AD179"/>
  <c r="AD180"/>
  <c r="AD181"/>
  <c r="AD182"/>
  <c r="AD183"/>
  <c r="AD184"/>
  <c r="AD185"/>
  <c r="AD186"/>
  <c r="AD187"/>
  <c r="AD188"/>
  <c r="AD189"/>
  <c r="AD190"/>
  <c r="AD191"/>
  <c r="AD192"/>
  <c r="AD193"/>
  <c r="AD194"/>
  <c r="AD195"/>
  <c r="AD196"/>
  <c r="AD197"/>
  <c r="AD198"/>
  <c r="AD199"/>
  <c r="AD200"/>
  <c r="AD201"/>
  <c r="AD202"/>
  <c r="AD203"/>
  <c r="AD204"/>
  <c r="AD205"/>
  <c r="AD206"/>
  <c r="AD207"/>
  <c r="AD208"/>
  <c r="AD209"/>
  <c r="AD210"/>
  <c r="AD211"/>
  <c r="AD212"/>
  <c r="AD213"/>
  <c r="AD214"/>
  <c r="AD215"/>
  <c r="AD216"/>
  <c r="AD217"/>
  <c r="AD218"/>
  <c r="AD219"/>
  <c r="AD220"/>
  <c r="AD221"/>
  <c r="AD222"/>
  <c r="AD223"/>
  <c r="AD224"/>
  <c r="AD225"/>
  <c r="AD226"/>
  <c r="AD227"/>
  <c r="AD228"/>
  <c r="AD229"/>
  <c r="AD230"/>
  <c r="AD231"/>
  <c r="AD232"/>
  <c r="AD233"/>
  <c r="AD234"/>
  <c r="AD235"/>
  <c r="AD236"/>
  <c r="AD237"/>
  <c r="AD238"/>
  <c r="AD239"/>
  <c r="AD240"/>
  <c r="AD241"/>
  <c r="AD242"/>
  <c r="AD243"/>
  <c r="AD244"/>
  <c r="AD245"/>
  <c r="AD246"/>
  <c r="AD247"/>
  <c r="AD248"/>
  <c r="AD249"/>
  <c r="AD250"/>
  <c r="AD251"/>
  <c r="AD252"/>
  <c r="AD253"/>
  <c r="AD254"/>
  <c r="AD255"/>
  <c r="AD256"/>
  <c r="AD257"/>
  <c r="AD258"/>
  <c r="AD259"/>
  <c r="AD260"/>
  <c r="AD261"/>
  <c r="AD262"/>
  <c r="AD263"/>
  <c r="AD264"/>
  <c r="AD265"/>
  <c r="AD266"/>
  <c r="AD267"/>
  <c r="AD268"/>
  <c r="AD269"/>
  <c r="AD270"/>
  <c r="AD271"/>
  <c r="AD272"/>
  <c r="AD273"/>
  <c r="AD274"/>
  <c r="AD275"/>
  <c r="AD276"/>
  <c r="AD277"/>
  <c r="AD278"/>
  <c r="AD279"/>
  <c r="AD280"/>
  <c r="AD281"/>
  <c r="AD282"/>
  <c r="AD283"/>
  <c r="AD284"/>
  <c r="AD285"/>
  <c r="AD286"/>
  <c r="AD287"/>
  <c r="AD288"/>
  <c r="AD289"/>
  <c r="AD290"/>
  <c r="AD291"/>
  <c r="AD292"/>
  <c r="AD293"/>
  <c r="AD294"/>
  <c r="AD295"/>
  <c r="AD296"/>
  <c r="AD297"/>
  <c r="AD298"/>
  <c r="AD299"/>
  <c r="AD300"/>
  <c r="AD301"/>
  <c r="AD302"/>
  <c r="AD303"/>
  <c r="AD304"/>
  <c r="AD5"/>
  <c r="AC6"/>
  <c r="AC7"/>
  <c r="AC8"/>
  <c r="AC9"/>
  <c r="AC10"/>
  <c r="AC11"/>
  <c r="AC12"/>
  <c r="AC13"/>
  <c r="AC14"/>
  <c r="AC15"/>
  <c r="AC16"/>
  <c r="AC17"/>
  <c r="AC18"/>
  <c r="AC19"/>
  <c r="AC20"/>
  <c r="AC21"/>
  <c r="AC22"/>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62"/>
  <c r="AC63"/>
  <c r="AC64"/>
  <c r="AC65"/>
  <c r="AC66"/>
  <c r="AC67"/>
  <c r="AC68"/>
  <c r="AC69"/>
  <c r="AC70"/>
  <c r="AC71"/>
  <c r="AC72"/>
  <c r="AC73"/>
  <c r="AC74"/>
  <c r="AC75"/>
  <c r="AC76"/>
  <c r="AC77"/>
  <c r="AC78"/>
  <c r="AC79"/>
  <c r="AC80"/>
  <c r="AC81"/>
  <c r="AC82"/>
  <c r="AC83"/>
  <c r="AC84"/>
  <c r="AC85"/>
  <c r="AC86"/>
  <c r="AC87"/>
  <c r="AC88"/>
  <c r="AC89"/>
  <c r="AC90"/>
  <c r="AC91"/>
  <c r="AC92"/>
  <c r="AC93"/>
  <c r="AC94"/>
  <c r="AC95"/>
  <c r="AC96"/>
  <c r="AC97"/>
  <c r="AC98"/>
  <c r="AC99"/>
  <c r="AC100"/>
  <c r="AC101"/>
  <c r="AC102"/>
  <c r="AC103"/>
  <c r="AC104"/>
  <c r="AC105"/>
  <c r="AC106"/>
  <c r="AC107"/>
  <c r="AC108"/>
  <c r="AC109"/>
  <c r="AC110"/>
  <c r="AC111"/>
  <c r="AC112"/>
  <c r="AC113"/>
  <c r="AC114"/>
  <c r="AC115"/>
  <c r="AC116"/>
  <c r="AC117"/>
  <c r="AC118"/>
  <c r="AC119"/>
  <c r="AC120"/>
  <c r="AC121"/>
  <c r="AC122"/>
  <c r="AC123"/>
  <c r="AC124"/>
  <c r="AC125"/>
  <c r="AC126"/>
  <c r="AC127"/>
  <c r="AC128"/>
  <c r="AC129"/>
  <c r="AC130"/>
  <c r="AC131"/>
  <c r="AC132"/>
  <c r="AC133"/>
  <c r="AC134"/>
  <c r="AC135"/>
  <c r="AC136"/>
  <c r="AC137"/>
  <c r="AC138"/>
  <c r="AC139"/>
  <c r="AC140"/>
  <c r="AC141"/>
  <c r="AC142"/>
  <c r="AC143"/>
  <c r="AC144"/>
  <c r="AC145"/>
  <c r="AC146"/>
  <c r="AC147"/>
  <c r="AC148"/>
  <c r="AC149"/>
  <c r="AC150"/>
  <c r="AC151"/>
  <c r="AC152"/>
  <c r="AC153"/>
  <c r="AC154"/>
  <c r="AC155"/>
  <c r="AC156"/>
  <c r="AC157"/>
  <c r="AC158"/>
  <c r="AC159"/>
  <c r="AC160"/>
  <c r="AC161"/>
  <c r="AC162"/>
  <c r="AC163"/>
  <c r="AC164"/>
  <c r="AC165"/>
  <c r="AC166"/>
  <c r="AC167"/>
  <c r="AC168"/>
  <c r="AC169"/>
  <c r="AC170"/>
  <c r="AC171"/>
  <c r="AC172"/>
  <c r="AC173"/>
  <c r="AC174"/>
  <c r="AC175"/>
  <c r="AC176"/>
  <c r="AC177"/>
  <c r="AC178"/>
  <c r="AC179"/>
  <c r="AC180"/>
  <c r="AC181"/>
  <c r="AC182"/>
  <c r="AC183"/>
  <c r="AC184"/>
  <c r="AC185"/>
  <c r="AC186"/>
  <c r="AC187"/>
  <c r="AC188"/>
  <c r="AC189"/>
  <c r="AC190"/>
  <c r="AC191"/>
  <c r="AC192"/>
  <c r="AC193"/>
  <c r="AC194"/>
  <c r="AC195"/>
  <c r="AC196"/>
  <c r="AC197"/>
  <c r="AC198"/>
  <c r="AC199"/>
  <c r="AC200"/>
  <c r="AC201"/>
  <c r="AC202"/>
  <c r="AC203"/>
  <c r="AC204"/>
  <c r="AC205"/>
  <c r="AC206"/>
  <c r="AC207"/>
  <c r="AC208"/>
  <c r="AC209"/>
  <c r="AC210"/>
  <c r="AC211"/>
  <c r="AC212"/>
  <c r="AC213"/>
  <c r="AC214"/>
  <c r="AC215"/>
  <c r="AC216"/>
  <c r="AC217"/>
  <c r="AC218"/>
  <c r="AC219"/>
  <c r="AC220"/>
  <c r="AC221"/>
  <c r="AC222"/>
  <c r="AC223"/>
  <c r="AC224"/>
  <c r="AC225"/>
  <c r="AC226"/>
  <c r="AC227"/>
  <c r="AC228"/>
  <c r="AC229"/>
  <c r="AC230"/>
  <c r="AC231"/>
  <c r="AC232"/>
  <c r="AC233"/>
  <c r="AC234"/>
  <c r="AC235"/>
  <c r="AC236"/>
  <c r="AC237"/>
  <c r="AC238"/>
  <c r="AC239"/>
  <c r="AC240"/>
  <c r="AC241"/>
  <c r="AC242"/>
  <c r="AC243"/>
  <c r="AC244"/>
  <c r="AC245"/>
  <c r="AC246"/>
  <c r="AC247"/>
  <c r="AC248"/>
  <c r="AC249"/>
  <c r="AC250"/>
  <c r="AC251"/>
  <c r="AC252"/>
  <c r="AC253"/>
  <c r="AC254"/>
  <c r="AC255"/>
  <c r="AC256"/>
  <c r="AC257"/>
  <c r="AC258"/>
  <c r="AC259"/>
  <c r="AC260"/>
  <c r="AC261"/>
  <c r="AC262"/>
  <c r="AC263"/>
  <c r="AC264"/>
  <c r="AC265"/>
  <c r="AC266"/>
  <c r="AC267"/>
  <c r="AC268"/>
  <c r="AC269"/>
  <c r="AC270"/>
  <c r="AC271"/>
  <c r="AC272"/>
  <c r="AC273"/>
  <c r="AC274"/>
  <c r="AC275"/>
  <c r="AC276"/>
  <c r="AC277"/>
  <c r="AC278"/>
  <c r="AC279"/>
  <c r="AC280"/>
  <c r="AC281"/>
  <c r="AC282"/>
  <c r="AC283"/>
  <c r="AC284"/>
  <c r="AC285"/>
  <c r="AC286"/>
  <c r="AC287"/>
  <c r="AC288"/>
  <c r="AC289"/>
  <c r="AC290"/>
  <c r="AC291"/>
  <c r="AC292"/>
  <c r="AC293"/>
  <c r="AC294"/>
  <c r="AC295"/>
  <c r="AC296"/>
  <c r="AC297"/>
  <c r="AC298"/>
  <c r="AC299"/>
  <c r="AC300"/>
  <c r="AC301"/>
  <c r="AC302"/>
  <c r="AC303"/>
  <c r="AC304"/>
  <c r="AC5"/>
  <c r="C11" l="1"/>
  <c r="C12" s="1"/>
  <c r="C17"/>
  <c r="C18" s="1"/>
  <c r="C23"/>
  <c r="C24" s="1"/>
  <c r="C29"/>
  <c r="C30" s="1"/>
  <c r="C35"/>
  <c r="C36" s="1"/>
  <c r="C37" s="1"/>
  <c r="C38" s="1"/>
  <c r="C39" s="1"/>
  <c r="C40" s="1"/>
  <c r="AB40" s="1"/>
  <c r="C41"/>
  <c r="C42" s="1"/>
  <c r="C47"/>
  <c r="C48" s="1"/>
  <c r="C53"/>
  <c r="C54" s="1"/>
  <c r="C59"/>
  <c r="C60" s="1"/>
  <c r="C65"/>
  <c r="C66" s="1"/>
  <c r="C71"/>
  <c r="C72" s="1"/>
  <c r="C77"/>
  <c r="C78" s="1"/>
  <c r="C83"/>
  <c r="C84" s="1"/>
  <c r="C89"/>
  <c r="C90" s="1"/>
  <c r="C95"/>
  <c r="C96" s="1"/>
  <c r="C101"/>
  <c r="C102" s="1"/>
  <c r="C107"/>
  <c r="C108" s="1"/>
  <c r="C113"/>
  <c r="C114" s="1"/>
  <c r="C119"/>
  <c r="C120" s="1"/>
  <c r="C125"/>
  <c r="C126" s="1"/>
  <c r="C131"/>
  <c r="C132" s="1"/>
  <c r="C137"/>
  <c r="C138" s="1"/>
  <c r="C143"/>
  <c r="C144" s="1"/>
  <c r="C149"/>
  <c r="C150" s="1"/>
  <c r="C155"/>
  <c r="C156" s="1"/>
  <c r="C161"/>
  <c r="C162" s="1"/>
  <c r="C167"/>
  <c r="C168" s="1"/>
  <c r="C173"/>
  <c r="C174" s="1"/>
  <c r="C179"/>
  <c r="C180" s="1"/>
  <c r="C185"/>
  <c r="C186" s="1"/>
  <c r="C191"/>
  <c r="C192" s="1"/>
  <c r="C197"/>
  <c r="C198" s="1"/>
  <c r="C203"/>
  <c r="C204" s="1"/>
  <c r="C209"/>
  <c r="C210" s="1"/>
  <c r="C215"/>
  <c r="C216" s="1"/>
  <c r="C221"/>
  <c r="C222" s="1"/>
  <c r="C227"/>
  <c r="C228" s="1"/>
  <c r="C233"/>
  <c r="C234" s="1"/>
  <c r="C239"/>
  <c r="C240" s="1"/>
  <c r="C245"/>
  <c r="C246" s="1"/>
  <c r="C251"/>
  <c r="C252" s="1"/>
  <c r="C257"/>
  <c r="C258" s="1"/>
  <c r="C263"/>
  <c r="C264" s="1"/>
  <c r="C269"/>
  <c r="C270" s="1"/>
  <c r="C275"/>
  <c r="C276" s="1"/>
  <c r="C281"/>
  <c r="C282" s="1"/>
  <c r="C287"/>
  <c r="C288" s="1"/>
  <c r="C293"/>
  <c r="C294" s="1"/>
  <c r="C299"/>
  <c r="C300" s="1"/>
  <c r="AB17"/>
  <c r="AB23"/>
  <c r="AB47"/>
  <c r="AB65"/>
  <c r="AB71"/>
  <c r="AB77"/>
  <c r="AB83"/>
  <c r="AB89"/>
  <c r="AB95"/>
  <c r="AB101"/>
  <c r="AB107"/>
  <c r="AB113"/>
  <c r="AB119"/>
  <c r="AB125"/>
  <c r="AB131"/>
  <c r="AB137"/>
  <c r="AB143"/>
  <c r="AB149"/>
  <c r="AB155"/>
  <c r="AB161"/>
  <c r="AB167"/>
  <c r="AB173"/>
  <c r="AB179"/>
  <c r="AB185"/>
  <c r="AB191"/>
  <c r="AB197"/>
  <c r="AB203"/>
  <c r="AB209"/>
  <c r="AB215"/>
  <c r="AB221"/>
  <c r="AB227"/>
  <c r="AB233"/>
  <c r="AB239"/>
  <c r="AB245"/>
  <c r="AB251"/>
  <c r="AB257"/>
  <c r="AB263"/>
  <c r="AB269"/>
  <c r="AB275"/>
  <c r="AB281"/>
  <c r="AB287"/>
  <c r="AB293"/>
  <c r="AB299"/>
  <c r="F11"/>
  <c r="F17"/>
  <c r="F23"/>
  <c r="F29"/>
  <c r="F35"/>
  <c r="F41"/>
  <c r="F47"/>
  <c r="F53"/>
  <c r="F59"/>
  <c r="F65"/>
  <c r="F71"/>
  <c r="F77"/>
  <c r="F83"/>
  <c r="F89"/>
  <c r="F95"/>
  <c r="F101"/>
  <c r="F107"/>
  <c r="F113"/>
  <c r="F119"/>
  <c r="F125"/>
  <c r="F131"/>
  <c r="F137"/>
  <c r="F143"/>
  <c r="F149"/>
  <c r="F155"/>
  <c r="F161"/>
  <c r="F167"/>
  <c r="F173"/>
  <c r="F179"/>
  <c r="F185"/>
  <c r="F191"/>
  <c r="F197"/>
  <c r="F203"/>
  <c r="F209"/>
  <c r="F215"/>
  <c r="F221"/>
  <c r="F227"/>
  <c r="F233"/>
  <c r="F239"/>
  <c r="F245"/>
  <c r="F251"/>
  <c r="F257"/>
  <c r="F263"/>
  <c r="F269"/>
  <c r="F275"/>
  <c r="F281"/>
  <c r="F287"/>
  <c r="F293"/>
  <c r="F299"/>
  <c r="F5"/>
  <c r="AA6"/>
  <c r="AA7"/>
  <c r="AA8"/>
  <c r="AA9"/>
  <c r="AA10"/>
  <c r="AA12"/>
  <c r="AA13"/>
  <c r="AA14"/>
  <c r="AA15"/>
  <c r="AA16"/>
  <c r="AA18"/>
  <c r="AA19"/>
  <c r="AA20"/>
  <c r="AA21"/>
  <c r="AA22"/>
  <c r="AA24"/>
  <c r="AA25"/>
  <c r="AA26"/>
  <c r="AA27"/>
  <c r="AA28"/>
  <c r="AA30"/>
  <c r="AA31"/>
  <c r="AA32"/>
  <c r="AA33"/>
  <c r="AA34"/>
  <c r="AA36"/>
  <c r="AA37"/>
  <c r="AA38"/>
  <c r="AA39"/>
  <c r="AA40"/>
  <c r="AA41"/>
  <c r="AA42"/>
  <c r="AA43"/>
  <c r="AA44"/>
  <c r="AA45"/>
  <c r="AA46"/>
  <c r="AA47"/>
  <c r="AA48"/>
  <c r="AA49"/>
  <c r="AA50"/>
  <c r="AA51"/>
  <c r="AA52"/>
  <c r="AA53"/>
  <c r="AA54"/>
  <c r="AA55"/>
  <c r="AA56"/>
  <c r="AA57"/>
  <c r="AA58"/>
  <c r="AA59"/>
  <c r="AA60"/>
  <c r="AA61"/>
  <c r="AA62"/>
  <c r="AA63"/>
  <c r="AA64"/>
  <c r="AA65"/>
  <c r="G65" s="1"/>
  <c r="AA66"/>
  <c r="AA67"/>
  <c r="AA68"/>
  <c r="AA69"/>
  <c r="AA70"/>
  <c r="AA71"/>
  <c r="AA72"/>
  <c r="AA73"/>
  <c r="AA74"/>
  <c r="AA75"/>
  <c r="AA76"/>
  <c r="AA77"/>
  <c r="AA78"/>
  <c r="AA79"/>
  <c r="AA80"/>
  <c r="AA81"/>
  <c r="AA82"/>
  <c r="AA83"/>
  <c r="AA84"/>
  <c r="AA85"/>
  <c r="AA86"/>
  <c r="AA87"/>
  <c r="AA88"/>
  <c r="AA89"/>
  <c r="AA90"/>
  <c r="AA91"/>
  <c r="AA92"/>
  <c r="AA93"/>
  <c r="AA94"/>
  <c r="AA95"/>
  <c r="AA96"/>
  <c r="AA97"/>
  <c r="AA98"/>
  <c r="AA99"/>
  <c r="AA100"/>
  <c r="AA101"/>
  <c r="AA102"/>
  <c r="AA103"/>
  <c r="AA104"/>
  <c r="AA105"/>
  <c r="AA106"/>
  <c r="AA107"/>
  <c r="AA108"/>
  <c r="AA109"/>
  <c r="AA110"/>
  <c r="AA111"/>
  <c r="AA112"/>
  <c r="AA113"/>
  <c r="AA114"/>
  <c r="AA115"/>
  <c r="AA116"/>
  <c r="AA117"/>
  <c r="AA118"/>
  <c r="AA119"/>
  <c r="AA120"/>
  <c r="AA121"/>
  <c r="AA122"/>
  <c r="AA123"/>
  <c r="AA124"/>
  <c r="AA125"/>
  <c r="AA126"/>
  <c r="AA127"/>
  <c r="AA128"/>
  <c r="AA129"/>
  <c r="AA130"/>
  <c r="AA131"/>
  <c r="AA132"/>
  <c r="AA133"/>
  <c r="AA134"/>
  <c r="AA135"/>
  <c r="AA136"/>
  <c r="AA137"/>
  <c r="AA138"/>
  <c r="AA139"/>
  <c r="AA140"/>
  <c r="AA141"/>
  <c r="AA142"/>
  <c r="AA143"/>
  <c r="AA144"/>
  <c r="AA145"/>
  <c r="AA146"/>
  <c r="AA147"/>
  <c r="AA148"/>
  <c r="AA149"/>
  <c r="AA150"/>
  <c r="AA151"/>
  <c r="AA152"/>
  <c r="AA153"/>
  <c r="AA154"/>
  <c r="AA155"/>
  <c r="AA156"/>
  <c r="AA157"/>
  <c r="AA158"/>
  <c r="AA159"/>
  <c r="AA160"/>
  <c r="AA161"/>
  <c r="AA162"/>
  <c r="AA163"/>
  <c r="AA164"/>
  <c r="AA165"/>
  <c r="AA166"/>
  <c r="AA167"/>
  <c r="AA168"/>
  <c r="AA169"/>
  <c r="AA170"/>
  <c r="AA171"/>
  <c r="AA172"/>
  <c r="AA173"/>
  <c r="AA174"/>
  <c r="AA175"/>
  <c r="AA176"/>
  <c r="AA177"/>
  <c r="AA178"/>
  <c r="AA179"/>
  <c r="AA180"/>
  <c r="AA181"/>
  <c r="AA182"/>
  <c r="AA183"/>
  <c r="AA184"/>
  <c r="AA185"/>
  <c r="AA186"/>
  <c r="AA187"/>
  <c r="AA188"/>
  <c r="AA189"/>
  <c r="AA190"/>
  <c r="AA191"/>
  <c r="AA192"/>
  <c r="AA193"/>
  <c r="AA194"/>
  <c r="AA195"/>
  <c r="AA196"/>
  <c r="AA197"/>
  <c r="AA198"/>
  <c r="AA199"/>
  <c r="AA200"/>
  <c r="AA201"/>
  <c r="AA202"/>
  <c r="AA203"/>
  <c r="AA204"/>
  <c r="AA205"/>
  <c r="AA206"/>
  <c r="AA207"/>
  <c r="AA208"/>
  <c r="AA209"/>
  <c r="AA210"/>
  <c r="AA211"/>
  <c r="AA212"/>
  <c r="AA213"/>
  <c r="AA214"/>
  <c r="AA215"/>
  <c r="AA216"/>
  <c r="AA217"/>
  <c r="AA218"/>
  <c r="AA219"/>
  <c r="AA220"/>
  <c r="AA221"/>
  <c r="AA222"/>
  <c r="AA223"/>
  <c r="AA224"/>
  <c r="AA225"/>
  <c r="AA226"/>
  <c r="AA227"/>
  <c r="AA228"/>
  <c r="AA229"/>
  <c r="AA230"/>
  <c r="AA231"/>
  <c r="AA232"/>
  <c r="AA233"/>
  <c r="AA234"/>
  <c r="AA235"/>
  <c r="AA236"/>
  <c r="AA237"/>
  <c r="AA238"/>
  <c r="AA239"/>
  <c r="AA240"/>
  <c r="AA241"/>
  <c r="AA242"/>
  <c r="AA243"/>
  <c r="AA244"/>
  <c r="AA245"/>
  <c r="AA246"/>
  <c r="AA247"/>
  <c r="AA248"/>
  <c r="AA249"/>
  <c r="AA250"/>
  <c r="AA251"/>
  <c r="AA252"/>
  <c r="AA253"/>
  <c r="AA254"/>
  <c r="AA255"/>
  <c r="AA256"/>
  <c r="AA257"/>
  <c r="AA258"/>
  <c r="AA259"/>
  <c r="AA260"/>
  <c r="AA261"/>
  <c r="AA262"/>
  <c r="AA263"/>
  <c r="AA264"/>
  <c r="AA265"/>
  <c r="AA266"/>
  <c r="AA267"/>
  <c r="AA268"/>
  <c r="AA269"/>
  <c r="AA270"/>
  <c r="AA271"/>
  <c r="AA272"/>
  <c r="AA273"/>
  <c r="AA274"/>
  <c r="AA275"/>
  <c r="AA276"/>
  <c r="AA277"/>
  <c r="AA278"/>
  <c r="AA279"/>
  <c r="AA280"/>
  <c r="AA281"/>
  <c r="AA282"/>
  <c r="AA283"/>
  <c r="AA284"/>
  <c r="AA285"/>
  <c r="AA286"/>
  <c r="AA287"/>
  <c r="AA288"/>
  <c r="AA289"/>
  <c r="AA290"/>
  <c r="AA291"/>
  <c r="AA292"/>
  <c r="AA293"/>
  <c r="AA294"/>
  <c r="AA295"/>
  <c r="AA296"/>
  <c r="AA297"/>
  <c r="AA298"/>
  <c r="AA299"/>
  <c r="AA300"/>
  <c r="AA301"/>
  <c r="AA302"/>
  <c r="AA303"/>
  <c r="AA304"/>
  <c r="M6"/>
  <c r="Z6" s="1"/>
  <c r="M7"/>
  <c r="M8"/>
  <c r="Z8" s="1"/>
  <c r="M9"/>
  <c r="M10"/>
  <c r="Z10" s="1"/>
  <c r="M11"/>
  <c r="M12"/>
  <c r="M13"/>
  <c r="Z13" s="1"/>
  <c r="M14"/>
  <c r="Z14" s="1"/>
  <c r="M15"/>
  <c r="M16"/>
  <c r="Z16" s="1"/>
  <c r="M17"/>
  <c r="M18"/>
  <c r="M19"/>
  <c r="Z19" s="1"/>
  <c r="M20"/>
  <c r="M21"/>
  <c r="M22"/>
  <c r="M23"/>
  <c r="M24"/>
  <c r="M25"/>
  <c r="M26"/>
  <c r="M27"/>
  <c r="M28"/>
  <c r="M29"/>
  <c r="M30"/>
  <c r="Z30" s="1"/>
  <c r="M31"/>
  <c r="Z31" s="1"/>
  <c r="M32"/>
  <c r="M33"/>
  <c r="M34"/>
  <c r="Z34" s="1"/>
  <c r="M35"/>
  <c r="Z35" s="1"/>
  <c r="M36"/>
  <c r="M37"/>
  <c r="Z37" s="1"/>
  <c r="M38"/>
  <c r="M39"/>
  <c r="M40"/>
  <c r="M41"/>
  <c r="Z41" s="1"/>
  <c r="M42"/>
  <c r="M43"/>
  <c r="M44"/>
  <c r="M45"/>
  <c r="Z45" s="1"/>
  <c r="M46"/>
  <c r="M47"/>
  <c r="M48"/>
  <c r="M49"/>
  <c r="Z49" s="1"/>
  <c r="M50"/>
  <c r="M51"/>
  <c r="M52"/>
  <c r="M53"/>
  <c r="Z53" s="1"/>
  <c r="M54"/>
  <c r="M55"/>
  <c r="M56"/>
  <c r="M57"/>
  <c r="M58"/>
  <c r="M59"/>
  <c r="M60"/>
  <c r="M61"/>
  <c r="M62"/>
  <c r="M63"/>
  <c r="M64"/>
  <c r="M65"/>
  <c r="M66"/>
  <c r="M67"/>
  <c r="M68"/>
  <c r="M69"/>
  <c r="M70"/>
  <c r="M71"/>
  <c r="Z71" s="1"/>
  <c r="M72"/>
  <c r="M73"/>
  <c r="Z73" s="1"/>
  <c r="M74"/>
  <c r="M75"/>
  <c r="M76"/>
  <c r="M77"/>
  <c r="Z77" s="1"/>
  <c r="M78"/>
  <c r="M79"/>
  <c r="M80"/>
  <c r="M81"/>
  <c r="Z81" s="1"/>
  <c r="M82"/>
  <c r="M83"/>
  <c r="M84"/>
  <c r="M85"/>
  <c r="Z85" s="1"/>
  <c r="M86"/>
  <c r="M87"/>
  <c r="M88"/>
  <c r="M89"/>
  <c r="Z89" s="1"/>
  <c r="M90"/>
  <c r="M91"/>
  <c r="M92"/>
  <c r="M93"/>
  <c r="Z93" s="1"/>
  <c r="M94"/>
  <c r="M95"/>
  <c r="M96"/>
  <c r="M97"/>
  <c r="Z97" s="1"/>
  <c r="M98"/>
  <c r="M99"/>
  <c r="M100"/>
  <c r="M101"/>
  <c r="Z101" s="1"/>
  <c r="M102"/>
  <c r="M103"/>
  <c r="M104"/>
  <c r="M105"/>
  <c r="Z105" s="1"/>
  <c r="M106"/>
  <c r="M107"/>
  <c r="M108"/>
  <c r="M109"/>
  <c r="Z109" s="1"/>
  <c r="M110"/>
  <c r="M111"/>
  <c r="M112"/>
  <c r="M113"/>
  <c r="Z113" s="1"/>
  <c r="M114"/>
  <c r="M115"/>
  <c r="M116"/>
  <c r="M117"/>
  <c r="Z117" s="1"/>
  <c r="M118"/>
  <c r="M119"/>
  <c r="M120"/>
  <c r="M121"/>
  <c r="Z121" s="1"/>
  <c r="M122"/>
  <c r="M123"/>
  <c r="M124"/>
  <c r="M125"/>
  <c r="Z125" s="1"/>
  <c r="M126"/>
  <c r="M127"/>
  <c r="M128"/>
  <c r="M129"/>
  <c r="Z129" s="1"/>
  <c r="M130"/>
  <c r="M131"/>
  <c r="M132"/>
  <c r="M133"/>
  <c r="Z133" s="1"/>
  <c r="M134"/>
  <c r="M135"/>
  <c r="M136"/>
  <c r="M137"/>
  <c r="Z137" s="1"/>
  <c r="M138"/>
  <c r="M139"/>
  <c r="M140"/>
  <c r="M141"/>
  <c r="Z141" s="1"/>
  <c r="M142"/>
  <c r="M143"/>
  <c r="M144"/>
  <c r="M145"/>
  <c r="Z145" s="1"/>
  <c r="M146"/>
  <c r="M147"/>
  <c r="M148"/>
  <c r="M149"/>
  <c r="Z149" s="1"/>
  <c r="M150"/>
  <c r="M151"/>
  <c r="M152"/>
  <c r="M153"/>
  <c r="Z153" s="1"/>
  <c r="M154"/>
  <c r="M155"/>
  <c r="M156"/>
  <c r="M157"/>
  <c r="Z157" s="1"/>
  <c r="M158"/>
  <c r="M159"/>
  <c r="M160"/>
  <c r="M161"/>
  <c r="Z161" s="1"/>
  <c r="M162"/>
  <c r="M163"/>
  <c r="M164"/>
  <c r="M165"/>
  <c r="Z165" s="1"/>
  <c r="M166"/>
  <c r="M167"/>
  <c r="M168"/>
  <c r="M169"/>
  <c r="Z169" s="1"/>
  <c r="M170"/>
  <c r="M171"/>
  <c r="M172"/>
  <c r="M173"/>
  <c r="Z173" s="1"/>
  <c r="M174"/>
  <c r="M175"/>
  <c r="M176"/>
  <c r="M177"/>
  <c r="Z177" s="1"/>
  <c r="M178"/>
  <c r="M179"/>
  <c r="M180"/>
  <c r="M181"/>
  <c r="Z181" s="1"/>
  <c r="M182"/>
  <c r="M183"/>
  <c r="M184"/>
  <c r="M185"/>
  <c r="Z185" s="1"/>
  <c r="M186"/>
  <c r="M187"/>
  <c r="M188"/>
  <c r="M189"/>
  <c r="Z189" s="1"/>
  <c r="M190"/>
  <c r="M191"/>
  <c r="M192"/>
  <c r="M193"/>
  <c r="Z193" s="1"/>
  <c r="M194"/>
  <c r="M195"/>
  <c r="M196"/>
  <c r="M197"/>
  <c r="Z197" s="1"/>
  <c r="M198"/>
  <c r="M199"/>
  <c r="M200"/>
  <c r="M201"/>
  <c r="Z201" s="1"/>
  <c r="M202"/>
  <c r="M203"/>
  <c r="M204"/>
  <c r="M205"/>
  <c r="Z205" s="1"/>
  <c r="M206"/>
  <c r="M207"/>
  <c r="M208"/>
  <c r="M209"/>
  <c r="Z209" s="1"/>
  <c r="M210"/>
  <c r="M211"/>
  <c r="M212"/>
  <c r="M213"/>
  <c r="Z213" s="1"/>
  <c r="M214"/>
  <c r="M215"/>
  <c r="Z215" s="1"/>
  <c r="M216"/>
  <c r="M217"/>
  <c r="Z217" s="1"/>
  <c r="M218"/>
  <c r="M219"/>
  <c r="Z219" s="1"/>
  <c r="M220"/>
  <c r="M221"/>
  <c r="M222"/>
  <c r="M223"/>
  <c r="M224"/>
  <c r="M225"/>
  <c r="M226"/>
  <c r="M227"/>
  <c r="M228"/>
  <c r="M229"/>
  <c r="M230"/>
  <c r="M231"/>
  <c r="M232"/>
  <c r="M233"/>
  <c r="Z233" s="1"/>
  <c r="M234"/>
  <c r="M235"/>
  <c r="M236"/>
  <c r="M237"/>
  <c r="M238"/>
  <c r="M239"/>
  <c r="M240"/>
  <c r="M241"/>
  <c r="M242"/>
  <c r="M243"/>
  <c r="M244"/>
  <c r="M245"/>
  <c r="M246"/>
  <c r="M247"/>
  <c r="M248"/>
  <c r="M249"/>
  <c r="M250"/>
  <c r="M251"/>
  <c r="M252"/>
  <c r="M253"/>
  <c r="M254"/>
  <c r="M255"/>
  <c r="M256"/>
  <c r="M257"/>
  <c r="M258"/>
  <c r="M259"/>
  <c r="Z259" s="1"/>
  <c r="M260"/>
  <c r="M261"/>
  <c r="Z261" s="1"/>
  <c r="M262"/>
  <c r="M263"/>
  <c r="Z263" s="1"/>
  <c r="M264"/>
  <c r="M265"/>
  <c r="Z265" s="1"/>
  <c r="M266"/>
  <c r="M267"/>
  <c r="Z267" s="1"/>
  <c r="M268"/>
  <c r="M269"/>
  <c r="Z269" s="1"/>
  <c r="M270"/>
  <c r="M271"/>
  <c r="Z271" s="1"/>
  <c r="M272"/>
  <c r="M273"/>
  <c r="M274"/>
  <c r="M275"/>
  <c r="M276"/>
  <c r="Z276" s="1"/>
  <c r="M277"/>
  <c r="Z277" s="1"/>
  <c r="M278"/>
  <c r="M279"/>
  <c r="M280"/>
  <c r="Z280" s="1"/>
  <c r="M281"/>
  <c r="Z281" s="1"/>
  <c r="M282"/>
  <c r="M283"/>
  <c r="M284"/>
  <c r="M285"/>
  <c r="Z285" s="1"/>
  <c r="M286"/>
  <c r="M287"/>
  <c r="Z287" s="1"/>
  <c r="M288"/>
  <c r="M289"/>
  <c r="Z289" s="1"/>
  <c r="M290"/>
  <c r="M291"/>
  <c r="Z291" s="1"/>
  <c r="M292"/>
  <c r="M293"/>
  <c r="M294"/>
  <c r="M295"/>
  <c r="Z295" s="1"/>
  <c r="M296"/>
  <c r="M297"/>
  <c r="Z297" s="1"/>
  <c r="M298"/>
  <c r="M299"/>
  <c r="M300"/>
  <c r="Z300" s="1"/>
  <c r="M301"/>
  <c r="Z301" s="1"/>
  <c r="M302"/>
  <c r="M303"/>
  <c r="M304"/>
  <c r="Z304" s="1"/>
  <c r="M5"/>
  <c r="G41"/>
  <c r="G47"/>
  <c r="G53"/>
  <c r="G59"/>
  <c r="G71"/>
  <c r="G77"/>
  <c r="G83"/>
  <c r="G89"/>
  <c r="G95"/>
  <c r="G101"/>
  <c r="G107"/>
  <c r="G113"/>
  <c r="G119"/>
  <c r="G125"/>
  <c r="G131"/>
  <c r="G137"/>
  <c r="G143"/>
  <c r="G149"/>
  <c r="G155"/>
  <c r="G161"/>
  <c r="G167"/>
  <c r="G173"/>
  <c r="G179"/>
  <c r="G185"/>
  <c r="G191"/>
  <c r="G197"/>
  <c r="G203"/>
  <c r="G209"/>
  <c r="G215"/>
  <c r="G221"/>
  <c r="G227"/>
  <c r="G233"/>
  <c r="G239"/>
  <c r="G245"/>
  <c r="G251"/>
  <c r="G257"/>
  <c r="G263"/>
  <c r="G269"/>
  <c r="G275"/>
  <c r="G281"/>
  <c r="G287"/>
  <c r="G293"/>
  <c r="G299"/>
  <c r="Y6"/>
  <c r="Y7"/>
  <c r="Y8"/>
  <c r="Y9"/>
  <c r="Z9"/>
  <c r="Y10"/>
  <c r="Y11"/>
  <c r="AA11" s="1"/>
  <c r="Y12"/>
  <c r="Z12"/>
  <c r="Y13"/>
  <c r="Y14"/>
  <c r="Y15"/>
  <c r="Z15"/>
  <c r="Y16"/>
  <c r="Y17"/>
  <c r="AA17" s="1"/>
  <c r="G17" s="1"/>
  <c r="Y18"/>
  <c r="Y19"/>
  <c r="Y20"/>
  <c r="Z20"/>
  <c r="Y21"/>
  <c r="Z21"/>
  <c r="Y22"/>
  <c r="Z22"/>
  <c r="Y23"/>
  <c r="AA23" s="1"/>
  <c r="G23" s="1"/>
  <c r="Y24"/>
  <c r="Z24"/>
  <c r="Y25"/>
  <c r="Z25"/>
  <c r="Y26"/>
  <c r="Z26"/>
  <c r="Y27"/>
  <c r="Z27"/>
  <c r="Y28"/>
  <c r="Z28"/>
  <c r="Y29"/>
  <c r="AA29" s="1"/>
  <c r="Y30"/>
  <c r="Y31"/>
  <c r="Y32"/>
  <c r="Z32"/>
  <c r="Y33"/>
  <c r="Y34"/>
  <c r="Y35"/>
  <c r="AA35" s="1"/>
  <c r="G35" s="1"/>
  <c r="Y36"/>
  <c r="Z36"/>
  <c r="Y37"/>
  <c r="Y38"/>
  <c r="Z38"/>
  <c r="Y39"/>
  <c r="Z39"/>
  <c r="Y40"/>
  <c r="Z40"/>
  <c r="Y41"/>
  <c r="Y42"/>
  <c r="Z42"/>
  <c r="Y43"/>
  <c r="Z43"/>
  <c r="Y44"/>
  <c r="Z44"/>
  <c r="Y45"/>
  <c r="Y46"/>
  <c r="Z46"/>
  <c r="Y47"/>
  <c r="Z47"/>
  <c r="Y48"/>
  <c r="Z48"/>
  <c r="Y49"/>
  <c r="Y50"/>
  <c r="Z50"/>
  <c r="Y51"/>
  <c r="Z51"/>
  <c r="Y52"/>
  <c r="Z52"/>
  <c r="Y53"/>
  <c r="Y54"/>
  <c r="Z54"/>
  <c r="Y55"/>
  <c r="Z55"/>
  <c r="Y56"/>
  <c r="Z56"/>
  <c r="Y57"/>
  <c r="Z57"/>
  <c r="Y58"/>
  <c r="Z58"/>
  <c r="Y59"/>
  <c r="Z59"/>
  <c r="Y60"/>
  <c r="Z60"/>
  <c r="Y61"/>
  <c r="Z61"/>
  <c r="Y62"/>
  <c r="Z62"/>
  <c r="Y63"/>
  <c r="Z63"/>
  <c r="Y64"/>
  <c r="Z64"/>
  <c r="Y65"/>
  <c r="Z65"/>
  <c r="Y66"/>
  <c r="Z66"/>
  <c r="Y67"/>
  <c r="Z67"/>
  <c r="Y68"/>
  <c r="Z68"/>
  <c r="Y69"/>
  <c r="Z69"/>
  <c r="Y70"/>
  <c r="Z70"/>
  <c r="Y71"/>
  <c r="Y72"/>
  <c r="Z72"/>
  <c r="Y73"/>
  <c r="Y74"/>
  <c r="Z74"/>
  <c r="Y75"/>
  <c r="Z75"/>
  <c r="Y76"/>
  <c r="Z76"/>
  <c r="Y77"/>
  <c r="Y78"/>
  <c r="Z78"/>
  <c r="Y79"/>
  <c r="Z79"/>
  <c r="Y80"/>
  <c r="Z80"/>
  <c r="Y81"/>
  <c r="Y82"/>
  <c r="Z82"/>
  <c r="Y83"/>
  <c r="Z83"/>
  <c r="Y84"/>
  <c r="Z84"/>
  <c r="Y85"/>
  <c r="Y86"/>
  <c r="Z86"/>
  <c r="Y87"/>
  <c r="Z87"/>
  <c r="Y88"/>
  <c r="Z88"/>
  <c r="Y89"/>
  <c r="Y90"/>
  <c r="Z90"/>
  <c r="Y91"/>
  <c r="Z91"/>
  <c r="Y92"/>
  <c r="Z92"/>
  <c r="Y93"/>
  <c r="Y94"/>
  <c r="Z94"/>
  <c r="Y95"/>
  <c r="Z95"/>
  <c r="Y96"/>
  <c r="Z96"/>
  <c r="Y97"/>
  <c r="Y98"/>
  <c r="Z98"/>
  <c r="Y99"/>
  <c r="Z99"/>
  <c r="Y100"/>
  <c r="Z100"/>
  <c r="Y101"/>
  <c r="Y102"/>
  <c r="Z102"/>
  <c r="Y103"/>
  <c r="Z103"/>
  <c r="Y104"/>
  <c r="Z104"/>
  <c r="Y105"/>
  <c r="Y106"/>
  <c r="Z106"/>
  <c r="Y107"/>
  <c r="Z107"/>
  <c r="Y108"/>
  <c r="Z108"/>
  <c r="Y109"/>
  <c r="Y110"/>
  <c r="Z110"/>
  <c r="Y111"/>
  <c r="Z111"/>
  <c r="Y112"/>
  <c r="Z112"/>
  <c r="Y113"/>
  <c r="Y114"/>
  <c r="Z114"/>
  <c r="Y115"/>
  <c r="Z115"/>
  <c r="Y116"/>
  <c r="Z116"/>
  <c r="Y117"/>
  <c r="Y118"/>
  <c r="Z118"/>
  <c r="Y119"/>
  <c r="Z119"/>
  <c r="Y120"/>
  <c r="Z120"/>
  <c r="Y121"/>
  <c r="Y122"/>
  <c r="Z122"/>
  <c r="Y123"/>
  <c r="Z123"/>
  <c r="Y124"/>
  <c r="Z124"/>
  <c r="Y125"/>
  <c r="Y126"/>
  <c r="Z126"/>
  <c r="Y127"/>
  <c r="Z127"/>
  <c r="Y128"/>
  <c r="Z128"/>
  <c r="Y129"/>
  <c r="Y130"/>
  <c r="Z130"/>
  <c r="Y131"/>
  <c r="Z131"/>
  <c r="Y132"/>
  <c r="Z132"/>
  <c r="Y133"/>
  <c r="Y134"/>
  <c r="Z134"/>
  <c r="Y135"/>
  <c r="Z135"/>
  <c r="Y136"/>
  <c r="Z136"/>
  <c r="Y137"/>
  <c r="Y138"/>
  <c r="Z138"/>
  <c r="Y139"/>
  <c r="Z139"/>
  <c r="Y140"/>
  <c r="Z140"/>
  <c r="Y141"/>
  <c r="Y142"/>
  <c r="Z142"/>
  <c r="Y143"/>
  <c r="Z143"/>
  <c r="Y144"/>
  <c r="Z144"/>
  <c r="Y145"/>
  <c r="Y146"/>
  <c r="Z146"/>
  <c r="Y147"/>
  <c r="Z147"/>
  <c r="Y148"/>
  <c r="Z148"/>
  <c r="Y149"/>
  <c r="Y150"/>
  <c r="Z150"/>
  <c r="Y151"/>
  <c r="Z151"/>
  <c r="Y152"/>
  <c r="Z152"/>
  <c r="Y153"/>
  <c r="Y154"/>
  <c r="Z154"/>
  <c r="Y155"/>
  <c r="Z155"/>
  <c r="Y156"/>
  <c r="Z156"/>
  <c r="Y157"/>
  <c r="Y158"/>
  <c r="Z158"/>
  <c r="Y159"/>
  <c r="Z159"/>
  <c r="Y160"/>
  <c r="Z160"/>
  <c r="Y161"/>
  <c r="Y162"/>
  <c r="Z162"/>
  <c r="Y163"/>
  <c r="Z163"/>
  <c r="Y164"/>
  <c r="Z164"/>
  <c r="Y165"/>
  <c r="Y166"/>
  <c r="Z166"/>
  <c r="Y167"/>
  <c r="Z167"/>
  <c r="Y168"/>
  <c r="Z168"/>
  <c r="Y169"/>
  <c r="Y170"/>
  <c r="Z170"/>
  <c r="Y171"/>
  <c r="Z171"/>
  <c r="Y172"/>
  <c r="Z172"/>
  <c r="Y173"/>
  <c r="Y174"/>
  <c r="Z174"/>
  <c r="Y175"/>
  <c r="Z175"/>
  <c r="Y176"/>
  <c r="Z176"/>
  <c r="Y177"/>
  <c r="Y178"/>
  <c r="Z178"/>
  <c r="Y179"/>
  <c r="Z179"/>
  <c r="Y180"/>
  <c r="Z180"/>
  <c r="Y181"/>
  <c r="Y182"/>
  <c r="Z182"/>
  <c r="Y183"/>
  <c r="Z183"/>
  <c r="Y184"/>
  <c r="Z184"/>
  <c r="Y185"/>
  <c r="Y186"/>
  <c r="Z186"/>
  <c r="Y187"/>
  <c r="Z187"/>
  <c r="Y188"/>
  <c r="Z188"/>
  <c r="Y189"/>
  <c r="Y190"/>
  <c r="Z190"/>
  <c r="Y191"/>
  <c r="Z191"/>
  <c r="Y192"/>
  <c r="Z192"/>
  <c r="Y193"/>
  <c r="Y194"/>
  <c r="Z194"/>
  <c r="Y195"/>
  <c r="Z195"/>
  <c r="Y196"/>
  <c r="Z196"/>
  <c r="Y197"/>
  <c r="Y198"/>
  <c r="Z198"/>
  <c r="Y199"/>
  <c r="Z199"/>
  <c r="Y200"/>
  <c r="Z200"/>
  <c r="Y201"/>
  <c r="Y202"/>
  <c r="Z202"/>
  <c r="Y203"/>
  <c r="Z203"/>
  <c r="Y204"/>
  <c r="Z204"/>
  <c r="Y205"/>
  <c r="Y206"/>
  <c r="Z206"/>
  <c r="Y207"/>
  <c r="Z207"/>
  <c r="Y208"/>
  <c r="Z208"/>
  <c r="Y209"/>
  <c r="Y210"/>
  <c r="Z210"/>
  <c r="Y211"/>
  <c r="Z211"/>
  <c r="Y212"/>
  <c r="Z212"/>
  <c r="Y213"/>
  <c r="Y214"/>
  <c r="Z214"/>
  <c r="Y215"/>
  <c r="Y216"/>
  <c r="Z216"/>
  <c r="Y217"/>
  <c r="Y218"/>
  <c r="Z218"/>
  <c r="Y219"/>
  <c r="Y220"/>
  <c r="Z220"/>
  <c r="Y221"/>
  <c r="Z221"/>
  <c r="Y222"/>
  <c r="Z222"/>
  <c r="Y223"/>
  <c r="Z223"/>
  <c r="Y224"/>
  <c r="Z224"/>
  <c r="Y225"/>
  <c r="Z225"/>
  <c r="Y226"/>
  <c r="Z226"/>
  <c r="Y227"/>
  <c r="Z227"/>
  <c r="Y228"/>
  <c r="Z228"/>
  <c r="Y229"/>
  <c r="Z229"/>
  <c r="Y230"/>
  <c r="Z230"/>
  <c r="Y231"/>
  <c r="Z231"/>
  <c r="Y232"/>
  <c r="Z232"/>
  <c r="Y233"/>
  <c r="Y234"/>
  <c r="Z234"/>
  <c r="Y235"/>
  <c r="Z235"/>
  <c r="Y236"/>
  <c r="Z236"/>
  <c r="Y237"/>
  <c r="Z237"/>
  <c r="Y238"/>
  <c r="Z238"/>
  <c r="Y239"/>
  <c r="Z239"/>
  <c r="Y240"/>
  <c r="Z240"/>
  <c r="Y241"/>
  <c r="Z241"/>
  <c r="Y242"/>
  <c r="Z242"/>
  <c r="Y243"/>
  <c r="Z243"/>
  <c r="Y244"/>
  <c r="Z244"/>
  <c r="Y245"/>
  <c r="Z245"/>
  <c r="Y246"/>
  <c r="Z246"/>
  <c r="Y247"/>
  <c r="Z247"/>
  <c r="Y248"/>
  <c r="Z248"/>
  <c r="Y249"/>
  <c r="Z249"/>
  <c r="Y250"/>
  <c r="Z250"/>
  <c r="Y251"/>
  <c r="Z251"/>
  <c r="Y252"/>
  <c r="Z252"/>
  <c r="Y253"/>
  <c r="Z253"/>
  <c r="Y254"/>
  <c r="Z254"/>
  <c r="Y255"/>
  <c r="Z255"/>
  <c r="Y256"/>
  <c r="Z256"/>
  <c r="Y257"/>
  <c r="Z257"/>
  <c r="Y258"/>
  <c r="Z258"/>
  <c r="Y259"/>
  <c r="Y260"/>
  <c r="Z260"/>
  <c r="Y261"/>
  <c r="Y262"/>
  <c r="Z262"/>
  <c r="Y263"/>
  <c r="Y264"/>
  <c r="Z264"/>
  <c r="Y265"/>
  <c r="Y266"/>
  <c r="Z266"/>
  <c r="Y267"/>
  <c r="Y268"/>
  <c r="Z268"/>
  <c r="Y269"/>
  <c r="Y270"/>
  <c r="Z270"/>
  <c r="Y271"/>
  <c r="Y272"/>
  <c r="Z272"/>
  <c r="Y273"/>
  <c r="Z273"/>
  <c r="Y274"/>
  <c r="Z274"/>
  <c r="Y275"/>
  <c r="Z275"/>
  <c r="Y276"/>
  <c r="Y277"/>
  <c r="Y278"/>
  <c r="Z278"/>
  <c r="Y279"/>
  <c r="Z279"/>
  <c r="Y280"/>
  <c r="Y281"/>
  <c r="Y282"/>
  <c r="Z282"/>
  <c r="Y283"/>
  <c r="Z283"/>
  <c r="Y284"/>
  <c r="Z284"/>
  <c r="Y285"/>
  <c r="Y286"/>
  <c r="Z286"/>
  <c r="Y287"/>
  <c r="Y288"/>
  <c r="Z288"/>
  <c r="Y289"/>
  <c r="Y290"/>
  <c r="Z290"/>
  <c r="Y291"/>
  <c r="Y292"/>
  <c r="Z292"/>
  <c r="Y293"/>
  <c r="Z293"/>
  <c r="Y294"/>
  <c r="Z294"/>
  <c r="Y295"/>
  <c r="Y296"/>
  <c r="Z296"/>
  <c r="Y297"/>
  <c r="Y298"/>
  <c r="Z298"/>
  <c r="Y299"/>
  <c r="Z299"/>
  <c r="Y300"/>
  <c r="Y301"/>
  <c r="Y302"/>
  <c r="Z302"/>
  <c r="Y303"/>
  <c r="Z303"/>
  <c r="Y304"/>
  <c r="Y5"/>
  <c r="AA5" s="1"/>
  <c r="A128" i="2"/>
  <c r="C128" s="1"/>
  <c r="A152"/>
  <c r="C152" s="1"/>
  <c r="A236"/>
  <c r="C236" s="1"/>
  <c r="C5" i="1"/>
  <c r="A8" i="2" s="1"/>
  <c r="B5" i="1"/>
  <c r="O5" s="1"/>
  <c r="A26" i="2"/>
  <c r="A32"/>
  <c r="A44"/>
  <c r="A50"/>
  <c r="C50" s="1"/>
  <c r="A56"/>
  <c r="A68"/>
  <c r="C68" s="1"/>
  <c r="A74"/>
  <c r="C74" s="1"/>
  <c r="A80"/>
  <c r="C80" s="1"/>
  <c r="A92"/>
  <c r="C92" s="1"/>
  <c r="A98"/>
  <c r="C98" s="1"/>
  <c r="A104"/>
  <c r="C104" s="1"/>
  <c r="A116"/>
  <c r="C116" s="1"/>
  <c r="A122"/>
  <c r="C122" s="1"/>
  <c r="A134"/>
  <c r="C134" s="1"/>
  <c r="A146"/>
  <c r="C146" s="1"/>
  <c r="A176"/>
  <c r="C176" s="1"/>
  <c r="A188"/>
  <c r="C188" s="1"/>
  <c r="A200"/>
  <c r="C200" s="1"/>
  <c r="A212"/>
  <c r="C212" s="1"/>
  <c r="A218"/>
  <c r="H218" s="1"/>
  <c r="N263" i="1"/>
  <c r="N287"/>
  <c r="W6"/>
  <c r="V8"/>
  <c r="W8"/>
  <c r="V9"/>
  <c r="W9"/>
  <c r="V10"/>
  <c r="W10"/>
  <c r="V11"/>
  <c r="V12"/>
  <c r="W12"/>
  <c r="V13"/>
  <c r="W13"/>
  <c r="V14"/>
  <c r="W14"/>
  <c r="V15"/>
  <c r="W15"/>
  <c r="V16"/>
  <c r="W16"/>
  <c r="V18"/>
  <c r="W18"/>
  <c r="V19"/>
  <c r="W19"/>
  <c r="V20"/>
  <c r="W20"/>
  <c r="V21"/>
  <c r="W21"/>
  <c r="V22"/>
  <c r="W22"/>
  <c r="V23"/>
  <c r="W23"/>
  <c r="V24"/>
  <c r="W24"/>
  <c r="V25"/>
  <c r="W25"/>
  <c r="V26"/>
  <c r="W26"/>
  <c r="V27"/>
  <c r="W27"/>
  <c r="V28"/>
  <c r="W28"/>
  <c r="V29"/>
  <c r="W29"/>
  <c r="V30"/>
  <c r="W30"/>
  <c r="V31"/>
  <c r="W31"/>
  <c r="V32"/>
  <c r="W32"/>
  <c r="V33"/>
  <c r="W33"/>
  <c r="V34"/>
  <c r="W34"/>
  <c r="V35"/>
  <c r="W35"/>
  <c r="V36"/>
  <c r="W36"/>
  <c r="V37"/>
  <c r="W37"/>
  <c r="V38"/>
  <c r="W38"/>
  <c r="V39"/>
  <c r="W39"/>
  <c r="V40"/>
  <c r="W40"/>
  <c r="V41"/>
  <c r="W41"/>
  <c r="V42"/>
  <c r="W42"/>
  <c r="V43"/>
  <c r="W43"/>
  <c r="V44"/>
  <c r="W44"/>
  <c r="V45"/>
  <c r="W45"/>
  <c r="V46"/>
  <c r="W46"/>
  <c r="V47"/>
  <c r="W47"/>
  <c r="V48"/>
  <c r="W48"/>
  <c r="V49"/>
  <c r="W49"/>
  <c r="V50"/>
  <c r="W50"/>
  <c r="V51"/>
  <c r="W51"/>
  <c r="V52"/>
  <c r="W52"/>
  <c r="V53"/>
  <c r="W53"/>
  <c r="V54"/>
  <c r="W54"/>
  <c r="V55"/>
  <c r="W55"/>
  <c r="V56"/>
  <c r="W56"/>
  <c r="V57"/>
  <c r="W57"/>
  <c r="V58"/>
  <c r="W58"/>
  <c r="V59"/>
  <c r="W59"/>
  <c r="V60"/>
  <c r="W60"/>
  <c r="V61"/>
  <c r="W61"/>
  <c r="V62"/>
  <c r="W62"/>
  <c r="V63"/>
  <c r="W63"/>
  <c r="V64"/>
  <c r="W64"/>
  <c r="V65"/>
  <c r="W65"/>
  <c r="V66"/>
  <c r="W66"/>
  <c r="V67"/>
  <c r="W67"/>
  <c r="V68"/>
  <c r="W68"/>
  <c r="V69"/>
  <c r="W69"/>
  <c r="V70"/>
  <c r="W70"/>
  <c r="V71"/>
  <c r="W71"/>
  <c r="V72"/>
  <c r="W72"/>
  <c r="V73"/>
  <c r="W73"/>
  <c r="V74"/>
  <c r="W74"/>
  <c r="V75"/>
  <c r="W75"/>
  <c r="V76"/>
  <c r="W76"/>
  <c r="V77"/>
  <c r="W77"/>
  <c r="V78"/>
  <c r="W78"/>
  <c r="V79"/>
  <c r="W79"/>
  <c r="V80"/>
  <c r="W80"/>
  <c r="V81"/>
  <c r="W81"/>
  <c r="V82"/>
  <c r="W82"/>
  <c r="V83"/>
  <c r="W83"/>
  <c r="V84"/>
  <c r="W84"/>
  <c r="V85"/>
  <c r="W85"/>
  <c r="V86"/>
  <c r="W86"/>
  <c r="V87"/>
  <c r="W87"/>
  <c r="V88"/>
  <c r="W88"/>
  <c r="V89"/>
  <c r="W89"/>
  <c r="V90"/>
  <c r="W90"/>
  <c r="V91"/>
  <c r="W91"/>
  <c r="V92"/>
  <c r="W92"/>
  <c r="V93"/>
  <c r="W93"/>
  <c r="V94"/>
  <c r="W94"/>
  <c r="V95"/>
  <c r="W95"/>
  <c r="V96"/>
  <c r="W96"/>
  <c r="V97"/>
  <c r="W97"/>
  <c r="V98"/>
  <c r="W98"/>
  <c r="V99"/>
  <c r="W99"/>
  <c r="V100"/>
  <c r="W100"/>
  <c r="V101"/>
  <c r="W101"/>
  <c r="V102"/>
  <c r="W102"/>
  <c r="V103"/>
  <c r="W103"/>
  <c r="V104"/>
  <c r="W104"/>
  <c r="V105"/>
  <c r="W105"/>
  <c r="V106"/>
  <c r="W106"/>
  <c r="V107"/>
  <c r="W107"/>
  <c r="V108"/>
  <c r="W108"/>
  <c r="V109"/>
  <c r="W109"/>
  <c r="V110"/>
  <c r="W110"/>
  <c r="V111"/>
  <c r="W111"/>
  <c r="V112"/>
  <c r="W112"/>
  <c r="V113"/>
  <c r="W113"/>
  <c r="V114"/>
  <c r="W114"/>
  <c r="V115"/>
  <c r="W115"/>
  <c r="V116"/>
  <c r="W116"/>
  <c r="V117"/>
  <c r="W117"/>
  <c r="V118"/>
  <c r="W118"/>
  <c r="V119"/>
  <c r="W119"/>
  <c r="V120"/>
  <c r="W120"/>
  <c r="V121"/>
  <c r="W121"/>
  <c r="V122"/>
  <c r="W122"/>
  <c r="V123"/>
  <c r="W123"/>
  <c r="V124"/>
  <c r="W124"/>
  <c r="V125"/>
  <c r="W125"/>
  <c r="V126"/>
  <c r="W126"/>
  <c r="V127"/>
  <c r="W127"/>
  <c r="V128"/>
  <c r="W128"/>
  <c r="V129"/>
  <c r="W129"/>
  <c r="V130"/>
  <c r="W130"/>
  <c r="V131"/>
  <c r="W131"/>
  <c r="V132"/>
  <c r="W132"/>
  <c r="V133"/>
  <c r="W133"/>
  <c r="V134"/>
  <c r="W134"/>
  <c r="V135"/>
  <c r="W135"/>
  <c r="V136"/>
  <c r="W136"/>
  <c r="V137"/>
  <c r="W137"/>
  <c r="V138"/>
  <c r="W138"/>
  <c r="V139"/>
  <c r="W139"/>
  <c r="V140"/>
  <c r="W140"/>
  <c r="V141"/>
  <c r="W141"/>
  <c r="V142"/>
  <c r="W142"/>
  <c r="V143"/>
  <c r="W143"/>
  <c r="V144"/>
  <c r="W144"/>
  <c r="V145"/>
  <c r="W145"/>
  <c r="V146"/>
  <c r="W146"/>
  <c r="V147"/>
  <c r="W147"/>
  <c r="V148"/>
  <c r="W148"/>
  <c r="V149"/>
  <c r="W149"/>
  <c r="V150"/>
  <c r="W150"/>
  <c r="V151"/>
  <c r="W151"/>
  <c r="V152"/>
  <c r="W152"/>
  <c r="V153"/>
  <c r="W153"/>
  <c r="V154"/>
  <c r="W154"/>
  <c r="V155"/>
  <c r="W155"/>
  <c r="V156"/>
  <c r="W156"/>
  <c r="V157"/>
  <c r="W157"/>
  <c r="V158"/>
  <c r="W158"/>
  <c r="V159"/>
  <c r="W159"/>
  <c r="V160"/>
  <c r="W160"/>
  <c r="V161"/>
  <c r="W161"/>
  <c r="V162"/>
  <c r="W162"/>
  <c r="V163"/>
  <c r="W163"/>
  <c r="V164"/>
  <c r="W164"/>
  <c r="V165"/>
  <c r="W165"/>
  <c r="V166"/>
  <c r="W166"/>
  <c r="V167"/>
  <c r="W167"/>
  <c r="V168"/>
  <c r="W168"/>
  <c r="V169"/>
  <c r="W169"/>
  <c r="V170"/>
  <c r="W170"/>
  <c r="V171"/>
  <c r="W171"/>
  <c r="V172"/>
  <c r="W172"/>
  <c r="V173"/>
  <c r="W173"/>
  <c r="V174"/>
  <c r="W174"/>
  <c r="V175"/>
  <c r="W175"/>
  <c r="V176"/>
  <c r="W176"/>
  <c r="V177"/>
  <c r="W177"/>
  <c r="V178"/>
  <c r="W178"/>
  <c r="V179"/>
  <c r="W179"/>
  <c r="V180"/>
  <c r="W180"/>
  <c r="V181"/>
  <c r="W181"/>
  <c r="V182"/>
  <c r="W182"/>
  <c r="V183"/>
  <c r="W183"/>
  <c r="V184"/>
  <c r="W184"/>
  <c r="V185"/>
  <c r="W185"/>
  <c r="V186"/>
  <c r="W186"/>
  <c r="V187"/>
  <c r="W187"/>
  <c r="V188"/>
  <c r="W188"/>
  <c r="V189"/>
  <c r="W189"/>
  <c r="V190"/>
  <c r="W190"/>
  <c r="V191"/>
  <c r="W191"/>
  <c r="V192"/>
  <c r="W192"/>
  <c r="V193"/>
  <c r="W193"/>
  <c r="V194"/>
  <c r="W194"/>
  <c r="V195"/>
  <c r="W195"/>
  <c r="V196"/>
  <c r="W196"/>
  <c r="V197"/>
  <c r="W197"/>
  <c r="V198"/>
  <c r="W198"/>
  <c r="V199"/>
  <c r="W199"/>
  <c r="V200"/>
  <c r="W200"/>
  <c r="V201"/>
  <c r="W201"/>
  <c r="V202"/>
  <c r="W202"/>
  <c r="V203"/>
  <c r="W203"/>
  <c r="V204"/>
  <c r="W204"/>
  <c r="V205"/>
  <c r="W205"/>
  <c r="V206"/>
  <c r="W206"/>
  <c r="V207"/>
  <c r="W207"/>
  <c r="V208"/>
  <c r="W208"/>
  <c r="V209"/>
  <c r="W209"/>
  <c r="V210"/>
  <c r="W210"/>
  <c r="V211"/>
  <c r="W211"/>
  <c r="V212"/>
  <c r="W212"/>
  <c r="V213"/>
  <c r="W213"/>
  <c r="V214"/>
  <c r="W214"/>
  <c r="V215"/>
  <c r="W215"/>
  <c r="V216"/>
  <c r="W216"/>
  <c r="V217"/>
  <c r="W217"/>
  <c r="V218"/>
  <c r="W218"/>
  <c r="V219"/>
  <c r="W219"/>
  <c r="V220"/>
  <c r="W220"/>
  <c r="V221"/>
  <c r="W221"/>
  <c r="V222"/>
  <c r="W222"/>
  <c r="V223"/>
  <c r="W223"/>
  <c r="V224"/>
  <c r="W224"/>
  <c r="V225"/>
  <c r="W225"/>
  <c r="V226"/>
  <c r="W226"/>
  <c r="V227"/>
  <c r="W227"/>
  <c r="V228"/>
  <c r="W228"/>
  <c r="V229"/>
  <c r="W229"/>
  <c r="V230"/>
  <c r="W230"/>
  <c r="V231"/>
  <c r="W231"/>
  <c r="V232"/>
  <c r="W232"/>
  <c r="V233"/>
  <c r="W233"/>
  <c r="V234"/>
  <c r="W234"/>
  <c r="V235"/>
  <c r="W235"/>
  <c r="V236"/>
  <c r="W236"/>
  <c r="V237"/>
  <c r="W237"/>
  <c r="V238"/>
  <c r="W238"/>
  <c r="V239"/>
  <c r="W239"/>
  <c r="V240"/>
  <c r="W240"/>
  <c r="V241"/>
  <c r="W241"/>
  <c r="V242"/>
  <c r="W242"/>
  <c r="V243"/>
  <c r="W243"/>
  <c r="V244"/>
  <c r="W244"/>
  <c r="V245"/>
  <c r="W245"/>
  <c r="V246"/>
  <c r="W246"/>
  <c r="V247"/>
  <c r="W247"/>
  <c r="V248"/>
  <c r="W248"/>
  <c r="V249"/>
  <c r="W249"/>
  <c r="V250"/>
  <c r="W250"/>
  <c r="V251"/>
  <c r="W251"/>
  <c r="V252"/>
  <c r="W252"/>
  <c r="V253"/>
  <c r="W253"/>
  <c r="V254"/>
  <c r="W254"/>
  <c r="V255"/>
  <c r="W255"/>
  <c r="V256"/>
  <c r="W256"/>
  <c r="V257"/>
  <c r="W257"/>
  <c r="V258"/>
  <c r="W258"/>
  <c r="V259"/>
  <c r="W259"/>
  <c r="V260"/>
  <c r="W260"/>
  <c r="V261"/>
  <c r="W261"/>
  <c r="V262"/>
  <c r="W262"/>
  <c r="V263"/>
  <c r="W263"/>
  <c r="V264"/>
  <c r="W264"/>
  <c r="V265"/>
  <c r="W265"/>
  <c r="V266"/>
  <c r="W266"/>
  <c r="V267"/>
  <c r="W267"/>
  <c r="V268"/>
  <c r="W268"/>
  <c r="V269"/>
  <c r="W269"/>
  <c r="V270"/>
  <c r="W270"/>
  <c r="V271"/>
  <c r="W271"/>
  <c r="V272"/>
  <c r="W272"/>
  <c r="V273"/>
  <c r="W273"/>
  <c r="V274"/>
  <c r="W274"/>
  <c r="V275"/>
  <c r="W275"/>
  <c r="V276"/>
  <c r="W276"/>
  <c r="V277"/>
  <c r="W277"/>
  <c r="V278"/>
  <c r="W278"/>
  <c r="V279"/>
  <c r="W279"/>
  <c r="V280"/>
  <c r="W280"/>
  <c r="V281"/>
  <c r="W281"/>
  <c r="V282"/>
  <c r="W282"/>
  <c r="V283"/>
  <c r="W283"/>
  <c r="V284"/>
  <c r="W284"/>
  <c r="V285"/>
  <c r="W285"/>
  <c r="V286"/>
  <c r="W286"/>
  <c r="V287"/>
  <c r="W287"/>
  <c r="V288"/>
  <c r="W288"/>
  <c r="V289"/>
  <c r="W289"/>
  <c r="V290"/>
  <c r="W290"/>
  <c r="V291"/>
  <c r="W291"/>
  <c r="V292"/>
  <c r="W292"/>
  <c r="V293"/>
  <c r="W293"/>
  <c r="V294"/>
  <c r="W294"/>
  <c r="V295"/>
  <c r="W295"/>
  <c r="V296"/>
  <c r="W296"/>
  <c r="V297"/>
  <c r="W297"/>
  <c r="V298"/>
  <c r="W298"/>
  <c r="V299"/>
  <c r="W299"/>
  <c r="V300"/>
  <c r="W300"/>
  <c r="V301"/>
  <c r="W301"/>
  <c r="V302"/>
  <c r="W302"/>
  <c r="V303"/>
  <c r="W303"/>
  <c r="V304"/>
  <c r="W304"/>
  <c r="R6"/>
  <c r="S6"/>
  <c r="T6"/>
  <c r="V6" s="1"/>
  <c r="U6"/>
  <c r="R7"/>
  <c r="S7"/>
  <c r="T7"/>
  <c r="V7" s="1"/>
  <c r="U7"/>
  <c r="W7" s="1"/>
  <c r="R8"/>
  <c r="S8"/>
  <c r="T8"/>
  <c r="U8"/>
  <c r="R9"/>
  <c r="S9"/>
  <c r="T9"/>
  <c r="U9"/>
  <c r="R10"/>
  <c r="S10"/>
  <c r="T10"/>
  <c r="U10"/>
  <c r="R11"/>
  <c r="S11"/>
  <c r="T11"/>
  <c r="U11"/>
  <c r="R12"/>
  <c r="S12"/>
  <c r="T12"/>
  <c r="U12"/>
  <c r="R13"/>
  <c r="S13"/>
  <c r="T13"/>
  <c r="U13"/>
  <c r="R14"/>
  <c r="S14"/>
  <c r="T14"/>
  <c r="U14"/>
  <c r="R15"/>
  <c r="S15"/>
  <c r="T15"/>
  <c r="U15"/>
  <c r="R16"/>
  <c r="S16"/>
  <c r="T16"/>
  <c r="U16"/>
  <c r="R17"/>
  <c r="S17"/>
  <c r="T17"/>
  <c r="U17"/>
  <c r="R18"/>
  <c r="S18"/>
  <c r="T18"/>
  <c r="U18"/>
  <c r="R19"/>
  <c r="S19"/>
  <c r="T19"/>
  <c r="U19"/>
  <c r="R20"/>
  <c r="S20"/>
  <c r="T20"/>
  <c r="U20"/>
  <c r="R21"/>
  <c r="S21"/>
  <c r="T21"/>
  <c r="U21"/>
  <c r="R22"/>
  <c r="S22"/>
  <c r="T22"/>
  <c r="U22"/>
  <c r="R23"/>
  <c r="AC23" s="1"/>
  <c r="S23"/>
  <c r="T23"/>
  <c r="U23"/>
  <c r="R24"/>
  <c r="S24"/>
  <c r="T24"/>
  <c r="U24"/>
  <c r="R25"/>
  <c r="S25"/>
  <c r="T25"/>
  <c r="U25"/>
  <c r="R26"/>
  <c r="S26"/>
  <c r="T26"/>
  <c r="U26"/>
  <c r="R27"/>
  <c r="S27"/>
  <c r="T27"/>
  <c r="U27"/>
  <c r="R28"/>
  <c r="S28"/>
  <c r="T28"/>
  <c r="U28"/>
  <c r="R29"/>
  <c r="AD29" s="1"/>
  <c r="S29"/>
  <c r="T29"/>
  <c r="U29"/>
  <c r="R30"/>
  <c r="S30"/>
  <c r="T30"/>
  <c r="U30"/>
  <c r="R31"/>
  <c r="S31"/>
  <c r="T31"/>
  <c r="U31"/>
  <c r="R32"/>
  <c r="S32"/>
  <c r="T32"/>
  <c r="U32"/>
  <c r="R33"/>
  <c r="S33"/>
  <c r="T33"/>
  <c r="U33"/>
  <c r="R34"/>
  <c r="S34"/>
  <c r="T34"/>
  <c r="U34"/>
  <c r="R35"/>
  <c r="S35"/>
  <c r="T35"/>
  <c r="U35"/>
  <c r="R36"/>
  <c r="S36"/>
  <c r="T36"/>
  <c r="U36"/>
  <c r="R37"/>
  <c r="S37"/>
  <c r="T37"/>
  <c r="U37"/>
  <c r="R38"/>
  <c r="S38"/>
  <c r="T38"/>
  <c r="U38"/>
  <c r="R39"/>
  <c r="S39"/>
  <c r="T39"/>
  <c r="U39"/>
  <c r="R40"/>
  <c r="S40"/>
  <c r="T40"/>
  <c r="U40"/>
  <c r="R41"/>
  <c r="S41"/>
  <c r="T41"/>
  <c r="U41"/>
  <c r="R42"/>
  <c r="S42"/>
  <c r="T42"/>
  <c r="U42"/>
  <c r="R43"/>
  <c r="S43"/>
  <c r="T43"/>
  <c r="U43"/>
  <c r="R44"/>
  <c r="S44"/>
  <c r="T44"/>
  <c r="U44"/>
  <c r="R45"/>
  <c r="S45"/>
  <c r="T45"/>
  <c r="U45"/>
  <c r="R46"/>
  <c r="S46"/>
  <c r="T46"/>
  <c r="U46"/>
  <c r="R47"/>
  <c r="S47"/>
  <c r="T47"/>
  <c r="U47"/>
  <c r="R48"/>
  <c r="S48"/>
  <c r="T48"/>
  <c r="U48"/>
  <c r="R49"/>
  <c r="S49"/>
  <c r="T49"/>
  <c r="U49"/>
  <c r="R50"/>
  <c r="S50"/>
  <c r="T50"/>
  <c r="U50"/>
  <c r="R51"/>
  <c r="S51"/>
  <c r="T51"/>
  <c r="U51"/>
  <c r="R52"/>
  <c r="S52"/>
  <c r="T52"/>
  <c r="U52"/>
  <c r="R53"/>
  <c r="S53"/>
  <c r="T53"/>
  <c r="U53"/>
  <c r="R54"/>
  <c r="S54"/>
  <c r="T54"/>
  <c r="U54"/>
  <c r="R55"/>
  <c r="S55"/>
  <c r="T55"/>
  <c r="U55"/>
  <c r="R56"/>
  <c r="S56"/>
  <c r="T56"/>
  <c r="U56"/>
  <c r="R57"/>
  <c r="S57"/>
  <c r="T57"/>
  <c r="U57"/>
  <c r="R58"/>
  <c r="S58"/>
  <c r="T58"/>
  <c r="U58"/>
  <c r="R59"/>
  <c r="S59"/>
  <c r="T59"/>
  <c r="U59"/>
  <c r="R60"/>
  <c r="S60"/>
  <c r="T60"/>
  <c r="U60"/>
  <c r="R61"/>
  <c r="S61"/>
  <c r="T61"/>
  <c r="U61"/>
  <c r="R62"/>
  <c r="S62"/>
  <c r="T62"/>
  <c r="U62"/>
  <c r="R63"/>
  <c r="S63"/>
  <c r="T63"/>
  <c r="U63"/>
  <c r="R64"/>
  <c r="S64"/>
  <c r="T64"/>
  <c r="U64"/>
  <c r="R65"/>
  <c r="S65"/>
  <c r="T65"/>
  <c r="U65"/>
  <c r="R66"/>
  <c r="S66"/>
  <c r="T66"/>
  <c r="U66"/>
  <c r="R67"/>
  <c r="S67"/>
  <c r="T67"/>
  <c r="U67"/>
  <c r="R68"/>
  <c r="S68"/>
  <c r="T68"/>
  <c r="U68"/>
  <c r="R69"/>
  <c r="S69"/>
  <c r="T69"/>
  <c r="U69"/>
  <c r="R70"/>
  <c r="S70"/>
  <c r="T70"/>
  <c r="U70"/>
  <c r="R71"/>
  <c r="S71"/>
  <c r="T71"/>
  <c r="U71"/>
  <c r="R72"/>
  <c r="S72"/>
  <c r="T72"/>
  <c r="U72"/>
  <c r="R73"/>
  <c r="S73"/>
  <c r="T73"/>
  <c r="U73"/>
  <c r="R74"/>
  <c r="S74"/>
  <c r="T74"/>
  <c r="U74"/>
  <c r="R75"/>
  <c r="S75"/>
  <c r="T75"/>
  <c r="U75"/>
  <c r="R76"/>
  <c r="S76"/>
  <c r="T76"/>
  <c r="U76"/>
  <c r="R77"/>
  <c r="S77"/>
  <c r="T77"/>
  <c r="U77"/>
  <c r="R78"/>
  <c r="S78"/>
  <c r="T78"/>
  <c r="U78"/>
  <c r="R79"/>
  <c r="S79"/>
  <c r="T79"/>
  <c r="U79"/>
  <c r="R80"/>
  <c r="S80"/>
  <c r="T80"/>
  <c r="U80"/>
  <c r="R81"/>
  <c r="S81"/>
  <c r="T81"/>
  <c r="U81"/>
  <c r="R82"/>
  <c r="S82"/>
  <c r="T82"/>
  <c r="U82"/>
  <c r="R83"/>
  <c r="S83"/>
  <c r="T83"/>
  <c r="U83"/>
  <c r="R84"/>
  <c r="S84"/>
  <c r="T84"/>
  <c r="U84"/>
  <c r="R85"/>
  <c r="S85"/>
  <c r="T85"/>
  <c r="U85"/>
  <c r="R86"/>
  <c r="S86"/>
  <c r="T86"/>
  <c r="U86"/>
  <c r="R87"/>
  <c r="S87"/>
  <c r="T87"/>
  <c r="U87"/>
  <c r="R88"/>
  <c r="S88"/>
  <c r="T88"/>
  <c r="U88"/>
  <c r="R89"/>
  <c r="S89"/>
  <c r="T89"/>
  <c r="U89"/>
  <c r="R90"/>
  <c r="S90"/>
  <c r="T90"/>
  <c r="U90"/>
  <c r="R91"/>
  <c r="S91"/>
  <c r="T91"/>
  <c r="U91"/>
  <c r="R92"/>
  <c r="S92"/>
  <c r="T92"/>
  <c r="U92"/>
  <c r="R93"/>
  <c r="S93"/>
  <c r="T93"/>
  <c r="U93"/>
  <c r="R94"/>
  <c r="S94"/>
  <c r="T94"/>
  <c r="U94"/>
  <c r="R95"/>
  <c r="S95"/>
  <c r="T95"/>
  <c r="U95"/>
  <c r="R96"/>
  <c r="S96"/>
  <c r="T96"/>
  <c r="U96"/>
  <c r="R97"/>
  <c r="S97"/>
  <c r="T97"/>
  <c r="U97"/>
  <c r="R98"/>
  <c r="S98"/>
  <c r="T98"/>
  <c r="U98"/>
  <c r="R99"/>
  <c r="S99"/>
  <c r="T99"/>
  <c r="U99"/>
  <c r="R100"/>
  <c r="S100"/>
  <c r="T100"/>
  <c r="U100"/>
  <c r="R101"/>
  <c r="S101"/>
  <c r="T101"/>
  <c r="U101"/>
  <c r="R102"/>
  <c r="S102"/>
  <c r="T102"/>
  <c r="U102"/>
  <c r="R103"/>
  <c r="S103"/>
  <c r="T103"/>
  <c r="U103"/>
  <c r="R104"/>
  <c r="S104"/>
  <c r="T104"/>
  <c r="U104"/>
  <c r="R105"/>
  <c r="S105"/>
  <c r="T105"/>
  <c r="U105"/>
  <c r="R106"/>
  <c r="S106"/>
  <c r="T106"/>
  <c r="U106"/>
  <c r="R107"/>
  <c r="S107"/>
  <c r="T107"/>
  <c r="U107"/>
  <c r="R108"/>
  <c r="S108"/>
  <c r="T108"/>
  <c r="U108"/>
  <c r="R109"/>
  <c r="S109"/>
  <c r="T109"/>
  <c r="U109"/>
  <c r="R110"/>
  <c r="S110"/>
  <c r="T110"/>
  <c r="U110"/>
  <c r="R111"/>
  <c r="S111"/>
  <c r="T111"/>
  <c r="U111"/>
  <c r="R112"/>
  <c r="S112"/>
  <c r="T112"/>
  <c r="U112"/>
  <c r="R113"/>
  <c r="S113"/>
  <c r="T113"/>
  <c r="U113"/>
  <c r="R114"/>
  <c r="S114"/>
  <c r="T114"/>
  <c r="U114"/>
  <c r="R115"/>
  <c r="S115"/>
  <c r="T115"/>
  <c r="U115"/>
  <c r="R116"/>
  <c r="S116"/>
  <c r="T116"/>
  <c r="U116"/>
  <c r="R117"/>
  <c r="S117"/>
  <c r="T117"/>
  <c r="U117"/>
  <c r="R118"/>
  <c r="S118"/>
  <c r="T118"/>
  <c r="U118"/>
  <c r="R119"/>
  <c r="S119"/>
  <c r="T119"/>
  <c r="U119"/>
  <c r="R120"/>
  <c r="S120"/>
  <c r="T120"/>
  <c r="U120"/>
  <c r="R121"/>
  <c r="S121"/>
  <c r="T121"/>
  <c r="U121"/>
  <c r="R122"/>
  <c r="S122"/>
  <c r="T122"/>
  <c r="U122"/>
  <c r="R123"/>
  <c r="S123"/>
  <c r="T123"/>
  <c r="U123"/>
  <c r="R124"/>
  <c r="S124"/>
  <c r="T124"/>
  <c r="U124"/>
  <c r="R125"/>
  <c r="S125"/>
  <c r="T125"/>
  <c r="U125"/>
  <c r="R126"/>
  <c r="S126"/>
  <c r="T126"/>
  <c r="U126"/>
  <c r="R127"/>
  <c r="S127"/>
  <c r="T127"/>
  <c r="U127"/>
  <c r="R128"/>
  <c r="S128"/>
  <c r="T128"/>
  <c r="U128"/>
  <c r="R129"/>
  <c r="S129"/>
  <c r="T129"/>
  <c r="U129"/>
  <c r="R130"/>
  <c r="S130"/>
  <c r="T130"/>
  <c r="U130"/>
  <c r="R131"/>
  <c r="S131"/>
  <c r="T131"/>
  <c r="U131"/>
  <c r="R132"/>
  <c r="S132"/>
  <c r="T132"/>
  <c r="U132"/>
  <c r="R133"/>
  <c r="S133"/>
  <c r="T133"/>
  <c r="U133"/>
  <c r="R134"/>
  <c r="S134"/>
  <c r="T134"/>
  <c r="U134"/>
  <c r="R135"/>
  <c r="S135"/>
  <c r="T135"/>
  <c r="U135"/>
  <c r="R136"/>
  <c r="S136"/>
  <c r="T136"/>
  <c r="U136"/>
  <c r="R137"/>
  <c r="S137"/>
  <c r="T137"/>
  <c r="U137"/>
  <c r="R138"/>
  <c r="S138"/>
  <c r="T138"/>
  <c r="U138"/>
  <c r="R139"/>
  <c r="S139"/>
  <c r="T139"/>
  <c r="U139"/>
  <c r="R140"/>
  <c r="S140"/>
  <c r="T140"/>
  <c r="U140"/>
  <c r="R141"/>
  <c r="S141"/>
  <c r="T141"/>
  <c r="U141"/>
  <c r="R142"/>
  <c r="S142"/>
  <c r="T142"/>
  <c r="U142"/>
  <c r="R143"/>
  <c r="S143"/>
  <c r="T143"/>
  <c r="U143"/>
  <c r="R144"/>
  <c r="S144"/>
  <c r="T144"/>
  <c r="U144"/>
  <c r="R145"/>
  <c r="S145"/>
  <c r="T145"/>
  <c r="U145"/>
  <c r="R146"/>
  <c r="S146"/>
  <c r="T146"/>
  <c r="U146"/>
  <c r="R147"/>
  <c r="S147"/>
  <c r="T147"/>
  <c r="U147"/>
  <c r="R148"/>
  <c r="S148"/>
  <c r="T148"/>
  <c r="U148"/>
  <c r="R149"/>
  <c r="S149"/>
  <c r="T149"/>
  <c r="U149"/>
  <c r="R150"/>
  <c r="S150"/>
  <c r="T150"/>
  <c r="U150"/>
  <c r="R151"/>
  <c r="S151"/>
  <c r="T151"/>
  <c r="U151"/>
  <c r="R152"/>
  <c r="S152"/>
  <c r="T152"/>
  <c r="U152"/>
  <c r="R153"/>
  <c r="S153"/>
  <c r="T153"/>
  <c r="U153"/>
  <c r="R154"/>
  <c r="S154"/>
  <c r="T154"/>
  <c r="U154"/>
  <c r="R155"/>
  <c r="S155"/>
  <c r="T155"/>
  <c r="U155"/>
  <c r="R156"/>
  <c r="S156"/>
  <c r="T156"/>
  <c r="U156"/>
  <c r="R157"/>
  <c r="S157"/>
  <c r="T157"/>
  <c r="U157"/>
  <c r="R158"/>
  <c r="S158"/>
  <c r="T158"/>
  <c r="U158"/>
  <c r="R159"/>
  <c r="S159"/>
  <c r="T159"/>
  <c r="U159"/>
  <c r="R160"/>
  <c r="S160"/>
  <c r="T160"/>
  <c r="U160"/>
  <c r="R161"/>
  <c r="S161"/>
  <c r="T161"/>
  <c r="U161"/>
  <c r="R162"/>
  <c r="S162"/>
  <c r="T162"/>
  <c r="U162"/>
  <c r="R163"/>
  <c r="S163"/>
  <c r="T163"/>
  <c r="U163"/>
  <c r="R164"/>
  <c r="S164"/>
  <c r="T164"/>
  <c r="U164"/>
  <c r="R165"/>
  <c r="S165"/>
  <c r="T165"/>
  <c r="U165"/>
  <c r="R166"/>
  <c r="S166"/>
  <c r="T166"/>
  <c r="U166"/>
  <c r="R167"/>
  <c r="S167"/>
  <c r="T167"/>
  <c r="U167"/>
  <c r="R168"/>
  <c r="S168"/>
  <c r="T168"/>
  <c r="U168"/>
  <c r="R169"/>
  <c r="S169"/>
  <c r="T169"/>
  <c r="U169"/>
  <c r="R170"/>
  <c r="S170"/>
  <c r="T170"/>
  <c r="U170"/>
  <c r="R171"/>
  <c r="S171"/>
  <c r="T171"/>
  <c r="U171"/>
  <c r="R172"/>
  <c r="S172"/>
  <c r="T172"/>
  <c r="U172"/>
  <c r="R173"/>
  <c r="S173"/>
  <c r="T173"/>
  <c r="U173"/>
  <c r="R174"/>
  <c r="S174"/>
  <c r="T174"/>
  <c r="U174"/>
  <c r="R175"/>
  <c r="S175"/>
  <c r="T175"/>
  <c r="U175"/>
  <c r="R176"/>
  <c r="S176"/>
  <c r="T176"/>
  <c r="U176"/>
  <c r="R177"/>
  <c r="S177"/>
  <c r="T177"/>
  <c r="U177"/>
  <c r="R178"/>
  <c r="S178"/>
  <c r="T178"/>
  <c r="U178"/>
  <c r="R179"/>
  <c r="S179"/>
  <c r="T179"/>
  <c r="U179"/>
  <c r="R180"/>
  <c r="S180"/>
  <c r="T180"/>
  <c r="U180"/>
  <c r="R181"/>
  <c r="S181"/>
  <c r="T181"/>
  <c r="U181"/>
  <c r="R182"/>
  <c r="S182"/>
  <c r="T182"/>
  <c r="U182"/>
  <c r="R183"/>
  <c r="S183"/>
  <c r="T183"/>
  <c r="U183"/>
  <c r="R184"/>
  <c r="S184"/>
  <c r="T184"/>
  <c r="U184"/>
  <c r="R185"/>
  <c r="S185"/>
  <c r="T185"/>
  <c r="U185"/>
  <c r="R186"/>
  <c r="S186"/>
  <c r="T186"/>
  <c r="U186"/>
  <c r="R187"/>
  <c r="S187"/>
  <c r="T187"/>
  <c r="U187"/>
  <c r="R188"/>
  <c r="S188"/>
  <c r="T188"/>
  <c r="U188"/>
  <c r="R189"/>
  <c r="S189"/>
  <c r="T189"/>
  <c r="U189"/>
  <c r="R190"/>
  <c r="S190"/>
  <c r="T190"/>
  <c r="U190"/>
  <c r="R191"/>
  <c r="S191"/>
  <c r="T191"/>
  <c r="U191"/>
  <c r="R192"/>
  <c r="S192"/>
  <c r="T192"/>
  <c r="U192"/>
  <c r="R193"/>
  <c r="S193"/>
  <c r="T193"/>
  <c r="U193"/>
  <c r="R194"/>
  <c r="S194"/>
  <c r="T194"/>
  <c r="U194"/>
  <c r="R195"/>
  <c r="S195"/>
  <c r="T195"/>
  <c r="U195"/>
  <c r="R196"/>
  <c r="S196"/>
  <c r="T196"/>
  <c r="U196"/>
  <c r="R197"/>
  <c r="S197"/>
  <c r="T197"/>
  <c r="U197"/>
  <c r="R198"/>
  <c r="S198"/>
  <c r="T198"/>
  <c r="U198"/>
  <c r="R199"/>
  <c r="S199"/>
  <c r="T199"/>
  <c r="U199"/>
  <c r="R200"/>
  <c r="S200"/>
  <c r="T200"/>
  <c r="U200"/>
  <c r="R201"/>
  <c r="S201"/>
  <c r="T201"/>
  <c r="U201"/>
  <c r="R202"/>
  <c r="S202"/>
  <c r="T202"/>
  <c r="U202"/>
  <c r="R203"/>
  <c r="S203"/>
  <c r="T203"/>
  <c r="U203"/>
  <c r="R204"/>
  <c r="S204"/>
  <c r="T204"/>
  <c r="U204"/>
  <c r="R205"/>
  <c r="S205"/>
  <c r="T205"/>
  <c r="U205"/>
  <c r="R206"/>
  <c r="S206"/>
  <c r="T206"/>
  <c r="U206"/>
  <c r="R207"/>
  <c r="S207"/>
  <c r="T207"/>
  <c r="U207"/>
  <c r="R208"/>
  <c r="S208"/>
  <c r="T208"/>
  <c r="U208"/>
  <c r="R209"/>
  <c r="S209"/>
  <c r="T209"/>
  <c r="U209"/>
  <c r="R210"/>
  <c r="S210"/>
  <c r="T210"/>
  <c r="U210"/>
  <c r="R211"/>
  <c r="S211"/>
  <c r="T211"/>
  <c r="U211"/>
  <c r="R212"/>
  <c r="S212"/>
  <c r="T212"/>
  <c r="U212"/>
  <c r="R213"/>
  <c r="S213"/>
  <c r="T213"/>
  <c r="U213"/>
  <c r="R214"/>
  <c r="S214"/>
  <c r="T214"/>
  <c r="U214"/>
  <c r="R215"/>
  <c r="S215"/>
  <c r="T215"/>
  <c r="U215"/>
  <c r="R216"/>
  <c r="S216"/>
  <c r="T216"/>
  <c r="U216"/>
  <c r="R217"/>
  <c r="S217"/>
  <c r="T217"/>
  <c r="U217"/>
  <c r="R218"/>
  <c r="S218"/>
  <c r="T218"/>
  <c r="U218"/>
  <c r="R219"/>
  <c r="S219"/>
  <c r="T219"/>
  <c r="U219"/>
  <c r="R220"/>
  <c r="S220"/>
  <c r="T220"/>
  <c r="U220"/>
  <c r="R221"/>
  <c r="S221"/>
  <c r="T221"/>
  <c r="U221"/>
  <c r="R222"/>
  <c r="S222"/>
  <c r="T222"/>
  <c r="U222"/>
  <c r="R223"/>
  <c r="S223"/>
  <c r="T223"/>
  <c r="U223"/>
  <c r="R224"/>
  <c r="S224"/>
  <c r="T224"/>
  <c r="U224"/>
  <c r="R225"/>
  <c r="S225"/>
  <c r="T225"/>
  <c r="U225"/>
  <c r="R226"/>
  <c r="S226"/>
  <c r="T226"/>
  <c r="U226"/>
  <c r="R227"/>
  <c r="S227"/>
  <c r="T227"/>
  <c r="U227"/>
  <c r="R228"/>
  <c r="S228"/>
  <c r="T228"/>
  <c r="U228"/>
  <c r="R229"/>
  <c r="S229"/>
  <c r="T229"/>
  <c r="U229"/>
  <c r="R230"/>
  <c r="S230"/>
  <c r="T230"/>
  <c r="U230"/>
  <c r="R231"/>
  <c r="S231"/>
  <c r="T231"/>
  <c r="U231"/>
  <c r="R232"/>
  <c r="S232"/>
  <c r="T232"/>
  <c r="U232"/>
  <c r="R233"/>
  <c r="S233"/>
  <c r="T233"/>
  <c r="U233"/>
  <c r="R234"/>
  <c r="S234"/>
  <c r="T234"/>
  <c r="U234"/>
  <c r="R235"/>
  <c r="S235"/>
  <c r="T235"/>
  <c r="U235"/>
  <c r="R236"/>
  <c r="S236"/>
  <c r="T236"/>
  <c r="U236"/>
  <c r="R237"/>
  <c r="S237"/>
  <c r="T237"/>
  <c r="U237"/>
  <c r="R238"/>
  <c r="S238"/>
  <c r="T238"/>
  <c r="U238"/>
  <c r="R239"/>
  <c r="S239"/>
  <c r="T239"/>
  <c r="U239"/>
  <c r="R240"/>
  <c r="S240"/>
  <c r="T240"/>
  <c r="U240"/>
  <c r="R241"/>
  <c r="S241"/>
  <c r="T241"/>
  <c r="U241"/>
  <c r="R242"/>
  <c r="S242"/>
  <c r="T242"/>
  <c r="U242"/>
  <c r="R243"/>
  <c r="S243"/>
  <c r="T243"/>
  <c r="U243"/>
  <c r="R244"/>
  <c r="S244"/>
  <c r="T244"/>
  <c r="U244"/>
  <c r="R245"/>
  <c r="S245"/>
  <c r="T245"/>
  <c r="U245"/>
  <c r="R246"/>
  <c r="S246"/>
  <c r="T246"/>
  <c r="U246"/>
  <c r="R247"/>
  <c r="S247"/>
  <c r="T247"/>
  <c r="U247"/>
  <c r="R248"/>
  <c r="S248"/>
  <c r="T248"/>
  <c r="U248"/>
  <c r="R249"/>
  <c r="S249"/>
  <c r="T249"/>
  <c r="U249"/>
  <c r="R250"/>
  <c r="S250"/>
  <c r="T250"/>
  <c r="U250"/>
  <c r="R251"/>
  <c r="S251"/>
  <c r="T251"/>
  <c r="U251"/>
  <c r="R252"/>
  <c r="S252"/>
  <c r="T252"/>
  <c r="U252"/>
  <c r="R253"/>
  <c r="S253"/>
  <c r="T253"/>
  <c r="U253"/>
  <c r="R254"/>
  <c r="S254"/>
  <c r="T254"/>
  <c r="U254"/>
  <c r="R255"/>
  <c r="S255"/>
  <c r="T255"/>
  <c r="U255"/>
  <c r="R256"/>
  <c r="S256"/>
  <c r="T256"/>
  <c r="U256"/>
  <c r="R257"/>
  <c r="S257"/>
  <c r="T257"/>
  <c r="U257"/>
  <c r="R258"/>
  <c r="S258"/>
  <c r="T258"/>
  <c r="U258"/>
  <c r="R259"/>
  <c r="S259"/>
  <c r="T259"/>
  <c r="U259"/>
  <c r="R260"/>
  <c r="S260"/>
  <c r="T260"/>
  <c r="U260"/>
  <c r="R261"/>
  <c r="S261"/>
  <c r="T261"/>
  <c r="U261"/>
  <c r="R262"/>
  <c r="S262"/>
  <c r="T262"/>
  <c r="U262"/>
  <c r="R263"/>
  <c r="S263"/>
  <c r="T263"/>
  <c r="U263"/>
  <c r="R264"/>
  <c r="S264"/>
  <c r="T264"/>
  <c r="U264"/>
  <c r="R265"/>
  <c r="S265"/>
  <c r="T265"/>
  <c r="U265"/>
  <c r="R266"/>
  <c r="S266"/>
  <c r="T266"/>
  <c r="U266"/>
  <c r="R267"/>
  <c r="S267"/>
  <c r="T267"/>
  <c r="U267"/>
  <c r="R268"/>
  <c r="S268"/>
  <c r="T268"/>
  <c r="U268"/>
  <c r="R269"/>
  <c r="S269"/>
  <c r="T269"/>
  <c r="U269"/>
  <c r="R270"/>
  <c r="S270"/>
  <c r="T270"/>
  <c r="U270"/>
  <c r="R271"/>
  <c r="S271"/>
  <c r="T271"/>
  <c r="U271"/>
  <c r="R272"/>
  <c r="S272"/>
  <c r="T272"/>
  <c r="U272"/>
  <c r="R273"/>
  <c r="S273"/>
  <c r="T273"/>
  <c r="U273"/>
  <c r="R274"/>
  <c r="S274"/>
  <c r="T274"/>
  <c r="U274"/>
  <c r="R275"/>
  <c r="S275"/>
  <c r="T275"/>
  <c r="U275"/>
  <c r="R276"/>
  <c r="S276"/>
  <c r="T276"/>
  <c r="U276"/>
  <c r="R277"/>
  <c r="S277"/>
  <c r="T277"/>
  <c r="U277"/>
  <c r="R278"/>
  <c r="S278"/>
  <c r="T278"/>
  <c r="U278"/>
  <c r="R279"/>
  <c r="S279"/>
  <c r="T279"/>
  <c r="U279"/>
  <c r="R280"/>
  <c r="S280"/>
  <c r="T280"/>
  <c r="U280"/>
  <c r="R281"/>
  <c r="S281"/>
  <c r="T281"/>
  <c r="U281"/>
  <c r="R282"/>
  <c r="S282"/>
  <c r="T282"/>
  <c r="U282"/>
  <c r="R283"/>
  <c r="S283"/>
  <c r="T283"/>
  <c r="U283"/>
  <c r="R284"/>
  <c r="S284"/>
  <c r="T284"/>
  <c r="U284"/>
  <c r="R285"/>
  <c r="S285"/>
  <c r="T285"/>
  <c r="U285"/>
  <c r="R286"/>
  <c r="S286"/>
  <c r="T286"/>
  <c r="U286"/>
  <c r="R287"/>
  <c r="S287"/>
  <c r="T287"/>
  <c r="U287"/>
  <c r="R288"/>
  <c r="S288"/>
  <c r="T288"/>
  <c r="U288"/>
  <c r="R289"/>
  <c r="S289"/>
  <c r="T289"/>
  <c r="U289"/>
  <c r="R290"/>
  <c r="S290"/>
  <c r="T290"/>
  <c r="U290"/>
  <c r="R291"/>
  <c r="S291"/>
  <c r="T291"/>
  <c r="U291"/>
  <c r="R292"/>
  <c r="S292"/>
  <c r="T292"/>
  <c r="U292"/>
  <c r="R293"/>
  <c r="S293"/>
  <c r="T293"/>
  <c r="U293"/>
  <c r="R294"/>
  <c r="S294"/>
  <c r="T294"/>
  <c r="U294"/>
  <c r="R295"/>
  <c r="S295"/>
  <c r="T295"/>
  <c r="U295"/>
  <c r="R296"/>
  <c r="S296"/>
  <c r="T296"/>
  <c r="U296"/>
  <c r="R297"/>
  <c r="S297"/>
  <c r="T297"/>
  <c r="U297"/>
  <c r="R298"/>
  <c r="S298"/>
  <c r="T298"/>
  <c r="U298"/>
  <c r="R299"/>
  <c r="S299"/>
  <c r="T299"/>
  <c r="U299"/>
  <c r="R300"/>
  <c r="S300"/>
  <c r="T300"/>
  <c r="U300"/>
  <c r="R301"/>
  <c r="S301"/>
  <c r="T301"/>
  <c r="U301"/>
  <c r="R302"/>
  <c r="S302"/>
  <c r="T302"/>
  <c r="U302"/>
  <c r="R303"/>
  <c r="S303"/>
  <c r="T303"/>
  <c r="U303"/>
  <c r="R304"/>
  <c r="S304"/>
  <c r="T304"/>
  <c r="U304"/>
  <c r="S5"/>
  <c r="R5"/>
  <c r="U5"/>
  <c r="W5" s="1"/>
  <c r="T5"/>
  <c r="P299"/>
  <c r="O300"/>
  <c r="P300"/>
  <c r="O301"/>
  <c r="P301"/>
  <c r="O302"/>
  <c r="P302"/>
  <c r="O303"/>
  <c r="P303"/>
  <c r="O304"/>
  <c r="P304"/>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8"/>
  <c r="P169"/>
  <c r="P170"/>
  <c r="P171"/>
  <c r="P172"/>
  <c r="P173"/>
  <c r="P174"/>
  <c r="P175"/>
  <c r="P176"/>
  <c r="P177"/>
  <c r="P178"/>
  <c r="P179"/>
  <c r="P180"/>
  <c r="P181"/>
  <c r="P182"/>
  <c r="P183"/>
  <c r="P184"/>
  <c r="P185"/>
  <c r="P186"/>
  <c r="P187"/>
  <c r="P188"/>
  <c r="P189"/>
  <c r="P190"/>
  <c r="P191"/>
  <c r="P192"/>
  <c r="P193"/>
  <c r="P194"/>
  <c r="P195"/>
  <c r="P196"/>
  <c r="P197"/>
  <c r="P198"/>
  <c r="P199"/>
  <c r="P200"/>
  <c r="P201"/>
  <c r="P202"/>
  <c r="P203"/>
  <c r="P204"/>
  <c r="P205"/>
  <c r="P206"/>
  <c r="P207"/>
  <c r="P208"/>
  <c r="P209"/>
  <c r="P210"/>
  <c r="P211"/>
  <c r="P212"/>
  <c r="P213"/>
  <c r="P214"/>
  <c r="P215"/>
  <c r="P216"/>
  <c r="P217"/>
  <c r="P218"/>
  <c r="P219"/>
  <c r="P220"/>
  <c r="P221"/>
  <c r="P222"/>
  <c r="P223"/>
  <c r="P224"/>
  <c r="P225"/>
  <c r="P226"/>
  <c r="P227"/>
  <c r="P228"/>
  <c r="P229"/>
  <c r="P230"/>
  <c r="P231"/>
  <c r="P232"/>
  <c r="P233"/>
  <c r="P234"/>
  <c r="P235"/>
  <c r="P236"/>
  <c r="P237"/>
  <c r="P238"/>
  <c r="P239"/>
  <c r="P240"/>
  <c r="P241"/>
  <c r="P242"/>
  <c r="P243"/>
  <c r="P244"/>
  <c r="P245"/>
  <c r="P246"/>
  <c r="P247"/>
  <c r="P248"/>
  <c r="P249"/>
  <c r="P250"/>
  <c r="P251"/>
  <c r="P252"/>
  <c r="P253"/>
  <c r="P254"/>
  <c r="P255"/>
  <c r="P256"/>
  <c r="P257"/>
  <c r="P258"/>
  <c r="P259"/>
  <c r="P260"/>
  <c r="P261"/>
  <c r="P262"/>
  <c r="P263"/>
  <c r="P264"/>
  <c r="P265"/>
  <c r="P266"/>
  <c r="P267"/>
  <c r="P268"/>
  <c r="P269"/>
  <c r="P270"/>
  <c r="P271"/>
  <c r="P272"/>
  <c r="P273"/>
  <c r="P274"/>
  <c r="P275"/>
  <c r="P276"/>
  <c r="P277"/>
  <c r="P278"/>
  <c r="P279"/>
  <c r="P280"/>
  <c r="P281"/>
  <c r="P282"/>
  <c r="P283"/>
  <c r="P284"/>
  <c r="P285"/>
  <c r="P286"/>
  <c r="P287"/>
  <c r="P288"/>
  <c r="P289"/>
  <c r="P290"/>
  <c r="P291"/>
  <c r="P292"/>
  <c r="P293"/>
  <c r="P294"/>
  <c r="P295"/>
  <c r="P296"/>
  <c r="P297"/>
  <c r="P298"/>
  <c r="P6"/>
  <c r="P7"/>
  <c r="P8"/>
  <c r="P9"/>
  <c r="P10"/>
  <c r="P11"/>
  <c r="P12"/>
  <c r="P13"/>
  <c r="P14"/>
  <c r="P15"/>
  <c r="P16"/>
  <c r="P5"/>
  <c r="O6"/>
  <c r="O7"/>
  <c r="O8"/>
  <c r="O9"/>
  <c r="O10"/>
  <c r="O12"/>
  <c r="O13"/>
  <c r="O14"/>
  <c r="O15"/>
  <c r="O16"/>
  <c r="O18"/>
  <c r="O19"/>
  <c r="O20"/>
  <c r="O21"/>
  <c r="O22"/>
  <c r="O24"/>
  <c r="O25"/>
  <c r="O26"/>
  <c r="O27"/>
  <c r="O28"/>
  <c r="O30"/>
  <c r="O31"/>
  <c r="O32"/>
  <c r="O33"/>
  <c r="O34"/>
  <c r="O36"/>
  <c r="O37"/>
  <c r="O38"/>
  <c r="O39"/>
  <c r="O40"/>
  <c r="O42"/>
  <c r="O43"/>
  <c r="O44"/>
  <c r="O45"/>
  <c r="O46"/>
  <c r="O48"/>
  <c r="O49"/>
  <c r="O50"/>
  <c r="O51"/>
  <c r="O52"/>
  <c r="O54"/>
  <c r="O55"/>
  <c r="O56"/>
  <c r="O57"/>
  <c r="O58"/>
  <c r="O60"/>
  <c r="O61"/>
  <c r="O62"/>
  <c r="O63"/>
  <c r="O64"/>
  <c r="O66"/>
  <c r="O67"/>
  <c r="O68"/>
  <c r="O69"/>
  <c r="O70"/>
  <c r="O72"/>
  <c r="O73"/>
  <c r="O74"/>
  <c r="O75"/>
  <c r="O76"/>
  <c r="O78"/>
  <c r="O79"/>
  <c r="O80"/>
  <c r="O81"/>
  <c r="O82"/>
  <c r="O84"/>
  <c r="O85"/>
  <c r="O86"/>
  <c r="O87"/>
  <c r="O88"/>
  <c r="O90"/>
  <c r="O91"/>
  <c r="O92"/>
  <c r="O93"/>
  <c r="O94"/>
  <c r="O96"/>
  <c r="O97"/>
  <c r="O98"/>
  <c r="O99"/>
  <c r="O100"/>
  <c r="O102"/>
  <c r="O103"/>
  <c r="O104"/>
  <c r="O105"/>
  <c r="O106"/>
  <c r="O108"/>
  <c r="O109"/>
  <c r="O110"/>
  <c r="O111"/>
  <c r="O112"/>
  <c r="O114"/>
  <c r="O115"/>
  <c r="O116"/>
  <c r="O117"/>
  <c r="O118"/>
  <c r="O120"/>
  <c r="O121"/>
  <c r="O122"/>
  <c r="O123"/>
  <c r="O124"/>
  <c r="O126"/>
  <c r="O127"/>
  <c r="O128"/>
  <c r="O129"/>
  <c r="O130"/>
  <c r="O132"/>
  <c r="O133"/>
  <c r="O134"/>
  <c r="O135"/>
  <c r="O136"/>
  <c r="O138"/>
  <c r="O139"/>
  <c r="O140"/>
  <c r="O141"/>
  <c r="O142"/>
  <c r="O144"/>
  <c r="O145"/>
  <c r="O146"/>
  <c r="O147"/>
  <c r="O148"/>
  <c r="O150"/>
  <c r="O151"/>
  <c r="O152"/>
  <c r="O153"/>
  <c r="O154"/>
  <c r="O156"/>
  <c r="O157"/>
  <c r="O158"/>
  <c r="O159"/>
  <c r="O160"/>
  <c r="O162"/>
  <c r="O163"/>
  <c r="O164"/>
  <c r="O165"/>
  <c r="O166"/>
  <c r="O168"/>
  <c r="O169"/>
  <c r="O170"/>
  <c r="O171"/>
  <c r="O172"/>
  <c r="O174"/>
  <c r="O175"/>
  <c r="O176"/>
  <c r="O177"/>
  <c r="O178"/>
  <c r="O180"/>
  <c r="O181"/>
  <c r="O182"/>
  <c r="O183"/>
  <c r="O184"/>
  <c r="O186"/>
  <c r="O187"/>
  <c r="O188"/>
  <c r="O189"/>
  <c r="O190"/>
  <c r="O192"/>
  <c r="O193"/>
  <c r="O194"/>
  <c r="O195"/>
  <c r="O196"/>
  <c r="O198"/>
  <c r="O199"/>
  <c r="O200"/>
  <c r="O201"/>
  <c r="O202"/>
  <c r="O204"/>
  <c r="O205"/>
  <c r="O206"/>
  <c r="O207"/>
  <c r="O208"/>
  <c r="O210"/>
  <c r="O211"/>
  <c r="O212"/>
  <c r="O213"/>
  <c r="O214"/>
  <c r="O216"/>
  <c r="O217"/>
  <c r="O218"/>
  <c r="O219"/>
  <c r="O220"/>
  <c r="O222"/>
  <c r="O223"/>
  <c r="O224"/>
  <c r="O225"/>
  <c r="O226"/>
  <c r="O228"/>
  <c r="O229"/>
  <c r="O230"/>
  <c r="O231"/>
  <c r="O232"/>
  <c r="O234"/>
  <c r="O235"/>
  <c r="O236"/>
  <c r="O237"/>
  <c r="O238"/>
  <c r="O240"/>
  <c r="O241"/>
  <c r="O242"/>
  <c r="O243"/>
  <c r="O244"/>
  <c r="O246"/>
  <c r="O247"/>
  <c r="O248"/>
  <c r="O249"/>
  <c r="O250"/>
  <c r="O252"/>
  <c r="O253"/>
  <c r="O254"/>
  <c r="O255"/>
  <c r="O256"/>
  <c r="O258"/>
  <c r="O259"/>
  <c r="O260"/>
  <c r="O261"/>
  <c r="O262"/>
  <c r="O264"/>
  <c r="O265"/>
  <c r="O266"/>
  <c r="O267"/>
  <c r="O268"/>
  <c r="O270"/>
  <c r="O271"/>
  <c r="O272"/>
  <c r="O273"/>
  <c r="O274"/>
  <c r="O276"/>
  <c r="O277"/>
  <c r="O278"/>
  <c r="O279"/>
  <c r="O280"/>
  <c r="O282"/>
  <c r="O283"/>
  <c r="O284"/>
  <c r="O285"/>
  <c r="O286"/>
  <c r="O288"/>
  <c r="O289"/>
  <c r="O290"/>
  <c r="O291"/>
  <c r="O292"/>
  <c r="O294"/>
  <c r="O295"/>
  <c r="O296"/>
  <c r="O297"/>
  <c r="O298"/>
  <c r="Z11"/>
  <c r="Z17"/>
  <c r="N17"/>
  <c r="Z18"/>
  <c r="Z23"/>
  <c r="N23"/>
  <c r="Z29"/>
  <c r="Z33"/>
  <c r="N41"/>
  <c r="N47"/>
  <c r="N53"/>
  <c r="N65"/>
  <c r="N71"/>
  <c r="N89"/>
  <c r="N95"/>
  <c r="N101"/>
  <c r="N113"/>
  <c r="N119"/>
  <c r="N125"/>
  <c r="N137"/>
  <c r="N143"/>
  <c r="N149"/>
  <c r="N161"/>
  <c r="N167"/>
  <c r="N173"/>
  <c r="N185"/>
  <c r="N191"/>
  <c r="N197"/>
  <c r="N209"/>
  <c r="N221"/>
  <c r="N233"/>
  <c r="N239"/>
  <c r="N245"/>
  <c r="N257"/>
  <c r="N269"/>
  <c r="N281"/>
  <c r="N293"/>
  <c r="Z7"/>
  <c r="Z5"/>
  <c r="C7" i="2"/>
  <c r="X298" i="1" l="1"/>
  <c r="X296"/>
  <c r="X294"/>
  <c r="X292"/>
  <c r="X290"/>
  <c r="X288"/>
  <c r="X286"/>
  <c r="X284"/>
  <c r="X282"/>
  <c r="X280"/>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6"/>
  <c r="X184"/>
  <c r="X182"/>
  <c r="X180"/>
  <c r="X178"/>
  <c r="X176"/>
  <c r="X174"/>
  <c r="X172"/>
  <c r="X170"/>
  <c r="X168"/>
  <c r="X166"/>
  <c r="AB11"/>
  <c r="X164"/>
  <c r="X162"/>
  <c r="X160"/>
  <c r="X158"/>
  <c r="X156"/>
  <c r="X154"/>
  <c r="X152"/>
  <c r="X150"/>
  <c r="X148"/>
  <c r="X146"/>
  <c r="X144"/>
  <c r="X142"/>
  <c r="X140"/>
  <c r="X138"/>
  <c r="X136"/>
  <c r="X134"/>
  <c r="X132"/>
  <c r="X130"/>
  <c r="X128"/>
  <c r="X126"/>
  <c r="X124"/>
  <c r="X122"/>
  <c r="X120"/>
  <c r="X118"/>
  <c r="X116"/>
  <c r="X114"/>
  <c r="X112"/>
  <c r="X110"/>
  <c r="X108"/>
  <c r="X106"/>
  <c r="X104"/>
  <c r="X102"/>
  <c r="X100"/>
  <c r="X98"/>
  <c r="X96"/>
  <c r="X94"/>
  <c r="X92"/>
  <c r="X90"/>
  <c r="X88"/>
  <c r="X86"/>
  <c r="X84"/>
  <c r="X82"/>
  <c r="X80"/>
  <c r="X78"/>
  <c r="X76"/>
  <c r="X74"/>
  <c r="X299"/>
  <c r="X297"/>
  <c r="X295"/>
  <c r="X293"/>
  <c r="X291"/>
  <c r="X289"/>
  <c r="X287"/>
  <c r="X285"/>
  <c r="X283"/>
  <c r="X281"/>
  <c r="X279"/>
  <c r="X277"/>
  <c r="X275"/>
  <c r="X273"/>
  <c r="X271"/>
  <c r="X269"/>
  <c r="X267"/>
  <c r="X265"/>
  <c r="X263"/>
  <c r="X261"/>
  <c r="X259"/>
  <c r="X257"/>
  <c r="X255"/>
  <c r="X253"/>
  <c r="X251"/>
  <c r="X249"/>
  <c r="X247"/>
  <c r="X245"/>
  <c r="X243"/>
  <c r="X241"/>
  <c r="X239"/>
  <c r="X237"/>
  <c r="X235"/>
  <c r="X233"/>
  <c r="X231"/>
  <c r="X229"/>
  <c r="X227"/>
  <c r="X225"/>
  <c r="X223"/>
  <c r="X221"/>
  <c r="X219"/>
  <c r="X217"/>
  <c r="X215"/>
  <c r="X213"/>
  <c r="X211"/>
  <c r="X209"/>
  <c r="X207"/>
  <c r="X205"/>
  <c r="X203"/>
  <c r="X201"/>
  <c r="X199"/>
  <c r="X197"/>
  <c r="X195"/>
  <c r="X193"/>
  <c r="X191"/>
  <c r="X189"/>
  <c r="X187"/>
  <c r="X185"/>
  <c r="X183"/>
  <c r="X181"/>
  <c r="X179"/>
  <c r="X177"/>
  <c r="X175"/>
  <c r="X173"/>
  <c r="X171"/>
  <c r="X169"/>
  <c r="X167"/>
  <c r="X165"/>
  <c r="X163"/>
  <c r="X161"/>
  <c r="X159"/>
  <c r="X157"/>
  <c r="X155"/>
  <c r="X153"/>
  <c r="X151"/>
  <c r="X149"/>
  <c r="X147"/>
  <c r="X145"/>
  <c r="X143"/>
  <c r="X141"/>
  <c r="X139"/>
  <c r="X137"/>
  <c r="X135"/>
  <c r="X133"/>
  <c r="X131"/>
  <c r="X129"/>
  <c r="X127"/>
  <c r="X125"/>
  <c r="X123"/>
  <c r="X121"/>
  <c r="X119"/>
  <c r="X117"/>
  <c r="X115"/>
  <c r="X113"/>
  <c r="X111"/>
  <c r="X109"/>
  <c r="X107"/>
  <c r="X105"/>
  <c r="X103"/>
  <c r="X101"/>
  <c r="X99"/>
  <c r="X97"/>
  <c r="X95"/>
  <c r="X93"/>
  <c r="X91"/>
  <c r="X89"/>
  <c r="X87"/>
  <c r="X85"/>
  <c r="X83"/>
  <c r="V5"/>
  <c r="X72"/>
  <c r="X70"/>
  <c r="X68"/>
  <c r="X66"/>
  <c r="X64"/>
  <c r="X62"/>
  <c r="X60"/>
  <c r="X58"/>
  <c r="X56"/>
  <c r="X54"/>
  <c r="X52"/>
  <c r="X50"/>
  <c r="X48"/>
  <c r="X46"/>
  <c r="X44"/>
  <c r="X42"/>
  <c r="X40"/>
  <c r="X38"/>
  <c r="X36"/>
  <c r="X81"/>
  <c r="X79"/>
  <c r="X77"/>
  <c r="X75"/>
  <c r="X73"/>
  <c r="X71"/>
  <c r="X69"/>
  <c r="X67"/>
  <c r="X65"/>
  <c r="X63"/>
  <c r="X61"/>
  <c r="X59"/>
  <c r="X57"/>
  <c r="X55"/>
  <c r="X53"/>
  <c r="X51"/>
  <c r="X49"/>
  <c r="X47"/>
  <c r="X45"/>
  <c r="X43"/>
  <c r="X41"/>
  <c r="X39"/>
  <c r="X37"/>
  <c r="X35"/>
  <c r="V17"/>
  <c r="W17"/>
  <c r="W11"/>
  <c r="X23"/>
  <c r="C26" i="2" s="1"/>
  <c r="N179" i="1"/>
  <c r="N155"/>
  <c r="N131"/>
  <c r="N107"/>
  <c r="N83"/>
  <c r="N275"/>
  <c r="N59"/>
  <c r="A302" i="2"/>
  <c r="H302" s="1"/>
  <c r="N251" i="1"/>
  <c r="A62" i="2"/>
  <c r="AB59" i="1"/>
  <c r="AB53"/>
  <c r="C56" i="2" s="1"/>
  <c r="AB41" i="1"/>
  <c r="C44" i="2" s="1"/>
  <c r="AB5" i="1"/>
  <c r="C6"/>
  <c r="G11"/>
  <c r="AB29"/>
  <c r="X29" s="1"/>
  <c r="A38" i="2"/>
  <c r="E38" s="1"/>
  <c r="C301" i="1"/>
  <c r="AB300"/>
  <c r="X300" s="1"/>
  <c r="C277"/>
  <c r="AB276"/>
  <c r="C253"/>
  <c r="AB252"/>
  <c r="C229"/>
  <c r="AB228"/>
  <c r="C205"/>
  <c r="AB204"/>
  <c r="C181"/>
  <c r="AB180"/>
  <c r="C157"/>
  <c r="AB156"/>
  <c r="C133"/>
  <c r="AB132"/>
  <c r="C109"/>
  <c r="AB108"/>
  <c r="C85"/>
  <c r="AB84"/>
  <c r="C61"/>
  <c r="AB60"/>
  <c r="C13"/>
  <c r="AB12"/>
  <c r="X12" s="1"/>
  <c r="C283"/>
  <c r="A286" i="2" s="1"/>
  <c r="C286" s="1"/>
  <c r="AB282" i="1"/>
  <c r="C259"/>
  <c r="AB258"/>
  <c r="C235"/>
  <c r="AB234"/>
  <c r="C211"/>
  <c r="AB210"/>
  <c r="C187"/>
  <c r="AB186"/>
  <c r="C163"/>
  <c r="AB162"/>
  <c r="C139"/>
  <c r="AB138"/>
  <c r="C115"/>
  <c r="AB114"/>
  <c r="C91"/>
  <c r="AB90"/>
  <c r="C67"/>
  <c r="AB66"/>
  <c r="C43"/>
  <c r="AB42"/>
  <c r="AB18"/>
  <c r="X18" s="1"/>
  <c r="C19"/>
  <c r="C289"/>
  <c r="AB288"/>
  <c r="C265"/>
  <c r="AB264"/>
  <c r="C241"/>
  <c r="AB240"/>
  <c r="C217"/>
  <c r="AB216"/>
  <c r="C193"/>
  <c r="AB192"/>
  <c r="C169"/>
  <c r="AB168"/>
  <c r="C145"/>
  <c r="AB144"/>
  <c r="C121"/>
  <c r="AB120"/>
  <c r="C97"/>
  <c r="AB96"/>
  <c r="C73"/>
  <c r="AB72"/>
  <c r="C49"/>
  <c r="AB48"/>
  <c r="C25"/>
  <c r="AB24"/>
  <c r="X24" s="1"/>
  <c r="C295"/>
  <c r="AB294"/>
  <c r="C271"/>
  <c r="AB270"/>
  <c r="C247"/>
  <c r="A250" i="2" s="1"/>
  <c r="AB246" i="1"/>
  <c r="C223"/>
  <c r="AB222"/>
  <c r="C199"/>
  <c r="AB198"/>
  <c r="C175"/>
  <c r="AB174"/>
  <c r="C151"/>
  <c r="AB150"/>
  <c r="C127"/>
  <c r="AB126"/>
  <c r="C103"/>
  <c r="AB102"/>
  <c r="C79"/>
  <c r="AB78"/>
  <c r="C55"/>
  <c r="AB54"/>
  <c r="AB30"/>
  <c r="X30" s="1"/>
  <c r="C31"/>
  <c r="N35"/>
  <c r="AB36"/>
  <c r="AB39"/>
  <c r="AB35"/>
  <c r="AB37"/>
  <c r="AB38"/>
  <c r="G5"/>
  <c r="G29"/>
  <c r="C302" i="2"/>
  <c r="C218"/>
  <c r="A14"/>
  <c r="J14" s="1"/>
  <c r="A243"/>
  <c r="A195"/>
  <c r="C195" s="1"/>
  <c r="A171"/>
  <c r="C171" s="1"/>
  <c r="A297"/>
  <c r="C297" s="1"/>
  <c r="A273"/>
  <c r="A249"/>
  <c r="C249" s="1"/>
  <c r="A231"/>
  <c r="C231" s="1"/>
  <c r="A159"/>
  <c r="C159" s="1"/>
  <c r="A111"/>
  <c r="I111" s="1"/>
  <c r="A87"/>
  <c r="C87" s="1"/>
  <c r="A285"/>
  <c r="C285" s="1"/>
  <c r="A261"/>
  <c r="K261" s="1"/>
  <c r="A213"/>
  <c r="G213" s="1"/>
  <c r="N210" i="1"/>
  <c r="N162"/>
  <c r="A165" i="2"/>
  <c r="C165" s="1"/>
  <c r="N114" i="1"/>
  <c r="A117" i="2"/>
  <c r="C117" s="1"/>
  <c r="A69"/>
  <c r="C69" s="1"/>
  <c r="N66" i="1"/>
  <c r="A21" i="2"/>
  <c r="A224"/>
  <c r="C224" s="1"/>
  <c r="N203" i="1"/>
  <c r="A182" i="2"/>
  <c r="F182" s="1"/>
  <c r="A164"/>
  <c r="A140"/>
  <c r="C140" s="1"/>
  <c r="A141"/>
  <c r="A45"/>
  <c r="A189"/>
  <c r="A93"/>
  <c r="C93" s="1"/>
  <c r="B11" i="1"/>
  <c r="B17" s="1"/>
  <c r="B23" s="1"/>
  <c r="F62" i="2"/>
  <c r="F146"/>
  <c r="F98"/>
  <c r="F50"/>
  <c r="N77" i="1"/>
  <c r="F80" i="2" s="1"/>
  <c r="N29" i="1"/>
  <c r="F134" i="2"/>
  <c r="N186" i="1"/>
  <c r="N138"/>
  <c r="N90"/>
  <c r="N42"/>
  <c r="F122" i="2"/>
  <c r="F74"/>
  <c r="F26"/>
  <c r="G195"/>
  <c r="A296"/>
  <c r="A284"/>
  <c r="C284" s="1"/>
  <c r="A272"/>
  <c r="K272" s="1"/>
  <c r="A260"/>
  <c r="C260" s="1"/>
  <c r="A248"/>
  <c r="A20"/>
  <c r="I20" s="1"/>
  <c r="G249"/>
  <c r="A290"/>
  <c r="J290" s="1"/>
  <c r="A278"/>
  <c r="A266"/>
  <c r="A254"/>
  <c r="A242"/>
  <c r="A230"/>
  <c r="I230" s="1"/>
  <c r="A206"/>
  <c r="A194"/>
  <c r="A170"/>
  <c r="K170" s="1"/>
  <c r="A158"/>
  <c r="A110"/>
  <c r="A86"/>
  <c r="J231"/>
  <c r="K195"/>
  <c r="I195"/>
  <c r="K171"/>
  <c r="H171"/>
  <c r="K159"/>
  <c r="J159"/>
  <c r="J87"/>
  <c r="I87"/>
  <c r="H87"/>
  <c r="B231"/>
  <c r="B195"/>
  <c r="B171"/>
  <c r="B159"/>
  <c r="E302"/>
  <c r="E218"/>
  <c r="E194"/>
  <c r="E182"/>
  <c r="E146"/>
  <c r="E134"/>
  <c r="E122"/>
  <c r="E98"/>
  <c r="E74"/>
  <c r="E62"/>
  <c r="E50"/>
  <c r="E26"/>
  <c r="K236"/>
  <c r="J236"/>
  <c r="I236"/>
  <c r="K224"/>
  <c r="J224"/>
  <c r="I224"/>
  <c r="K212"/>
  <c r="J212"/>
  <c r="I212"/>
  <c r="K200"/>
  <c r="J200"/>
  <c r="I200"/>
  <c r="K188"/>
  <c r="J188"/>
  <c r="I188"/>
  <c r="K176"/>
  <c r="J176"/>
  <c r="I176"/>
  <c r="H176"/>
  <c r="J164"/>
  <c r="K152"/>
  <c r="J152"/>
  <c r="I152"/>
  <c r="H152"/>
  <c r="K140"/>
  <c r="J140"/>
  <c r="H140"/>
  <c r="K128"/>
  <c r="J128"/>
  <c r="I128"/>
  <c r="H128"/>
  <c r="K116"/>
  <c r="J116"/>
  <c r="I116"/>
  <c r="H116"/>
  <c r="K104"/>
  <c r="J104"/>
  <c r="I104"/>
  <c r="H104"/>
  <c r="K92"/>
  <c r="J92"/>
  <c r="I92"/>
  <c r="H92"/>
  <c r="K80"/>
  <c r="J80"/>
  <c r="I80"/>
  <c r="H80"/>
  <c r="K68"/>
  <c r="J68"/>
  <c r="I68"/>
  <c r="H68"/>
  <c r="K56"/>
  <c r="J56"/>
  <c r="I56"/>
  <c r="H56"/>
  <c r="K44"/>
  <c r="J44"/>
  <c r="I44"/>
  <c r="H44"/>
  <c r="K32"/>
  <c r="J32"/>
  <c r="I32"/>
  <c r="H32"/>
  <c r="K20"/>
  <c r="J20"/>
  <c r="H20"/>
  <c r="B272"/>
  <c r="B236"/>
  <c r="B224"/>
  <c r="B212"/>
  <c r="B200"/>
  <c r="B188"/>
  <c r="B176"/>
  <c r="B164"/>
  <c r="B152"/>
  <c r="B140"/>
  <c r="B128"/>
  <c r="B116"/>
  <c r="B104"/>
  <c r="B92"/>
  <c r="B80"/>
  <c r="B68"/>
  <c r="B56"/>
  <c r="B44"/>
  <c r="B32"/>
  <c r="B20"/>
  <c r="E231"/>
  <c r="E195"/>
  <c r="E171"/>
  <c r="E159"/>
  <c r="E87"/>
  <c r="H243"/>
  <c r="H231"/>
  <c r="H195"/>
  <c r="K297"/>
  <c r="J297"/>
  <c r="I297"/>
  <c r="K285"/>
  <c r="J285"/>
  <c r="I285"/>
  <c r="J261"/>
  <c r="I261"/>
  <c r="J249"/>
  <c r="I213"/>
  <c r="K165"/>
  <c r="J165"/>
  <c r="I165"/>
  <c r="H165"/>
  <c r="K141"/>
  <c r="J141"/>
  <c r="I141"/>
  <c r="H141"/>
  <c r="K117"/>
  <c r="J117"/>
  <c r="I117"/>
  <c r="H117"/>
  <c r="K93"/>
  <c r="J93"/>
  <c r="I93"/>
  <c r="H93"/>
  <c r="K69"/>
  <c r="K45"/>
  <c r="J45"/>
  <c r="I45"/>
  <c r="H45"/>
  <c r="K21"/>
  <c r="C32"/>
  <c r="B297"/>
  <c r="B285"/>
  <c r="B249"/>
  <c r="B165"/>
  <c r="B141"/>
  <c r="B117"/>
  <c r="B93"/>
  <c r="B45"/>
  <c r="E284"/>
  <c r="E272"/>
  <c r="E236"/>
  <c r="E224"/>
  <c r="E212"/>
  <c r="E200"/>
  <c r="E188"/>
  <c r="E176"/>
  <c r="E152"/>
  <c r="E140"/>
  <c r="E128"/>
  <c r="E116"/>
  <c r="E104"/>
  <c r="E92"/>
  <c r="E80"/>
  <c r="E68"/>
  <c r="E56"/>
  <c r="E44"/>
  <c r="E32"/>
  <c r="E20"/>
  <c r="F284"/>
  <c r="F272"/>
  <c r="F236"/>
  <c r="F224"/>
  <c r="F212"/>
  <c r="F200"/>
  <c r="F188"/>
  <c r="F176"/>
  <c r="F164"/>
  <c r="F152"/>
  <c r="F140"/>
  <c r="F128"/>
  <c r="F116"/>
  <c r="F104"/>
  <c r="F92"/>
  <c r="F68"/>
  <c r="F56"/>
  <c r="F44"/>
  <c r="F32"/>
  <c r="F20"/>
  <c r="H284"/>
  <c r="H272"/>
  <c r="H248"/>
  <c r="H236"/>
  <c r="H224"/>
  <c r="H212"/>
  <c r="H200"/>
  <c r="H188"/>
  <c r="K302"/>
  <c r="J302"/>
  <c r="I302"/>
  <c r="I278"/>
  <c r="J266"/>
  <c r="K254"/>
  <c r="J254"/>
  <c r="I254"/>
  <c r="J242"/>
  <c r="K218"/>
  <c r="J218"/>
  <c r="I218"/>
  <c r="J206"/>
  <c r="K194"/>
  <c r="J194"/>
  <c r="I194"/>
  <c r="K182"/>
  <c r="J182"/>
  <c r="I182"/>
  <c r="I170"/>
  <c r="H158"/>
  <c r="K146"/>
  <c r="J146"/>
  <c r="I146"/>
  <c r="H146"/>
  <c r="K134"/>
  <c r="J134"/>
  <c r="I134"/>
  <c r="H134"/>
  <c r="K122"/>
  <c r="J122"/>
  <c r="I122"/>
  <c r="H122"/>
  <c r="K110"/>
  <c r="I110"/>
  <c r="K98"/>
  <c r="J98"/>
  <c r="I98"/>
  <c r="H98"/>
  <c r="K86"/>
  <c r="J86"/>
  <c r="I86"/>
  <c r="H86"/>
  <c r="K74"/>
  <c r="J74"/>
  <c r="I74"/>
  <c r="H74"/>
  <c r="K62"/>
  <c r="J62"/>
  <c r="I62"/>
  <c r="H62"/>
  <c r="K50"/>
  <c r="J50"/>
  <c r="I50"/>
  <c r="H50"/>
  <c r="I38"/>
  <c r="K26"/>
  <c r="J26"/>
  <c r="I26"/>
  <c r="H26"/>
  <c r="B302"/>
  <c r="B278"/>
  <c r="B254"/>
  <c r="B218"/>
  <c r="B194"/>
  <c r="B182"/>
  <c r="B146"/>
  <c r="B134"/>
  <c r="B122"/>
  <c r="B98"/>
  <c r="B86"/>
  <c r="B74"/>
  <c r="B62"/>
  <c r="B50"/>
  <c r="B26"/>
  <c r="E297"/>
  <c r="E285"/>
  <c r="E273"/>
  <c r="E261"/>
  <c r="E213"/>
  <c r="E189"/>
  <c r="E165"/>
  <c r="E141"/>
  <c r="E117"/>
  <c r="E93"/>
  <c r="E45"/>
  <c r="E21"/>
  <c r="F213"/>
  <c r="F165"/>
  <c r="F141"/>
  <c r="F117"/>
  <c r="F93"/>
  <c r="F45"/>
  <c r="H297"/>
  <c r="H285"/>
  <c r="H261"/>
  <c r="H8"/>
  <c r="N18" i="1"/>
  <c r="A244" i="2"/>
  <c r="N240" i="1"/>
  <c r="F243" i="2" s="1"/>
  <c r="N228" i="1"/>
  <c r="F231" i="2" s="1"/>
  <c r="A232"/>
  <c r="C232" s="1"/>
  <c r="A196"/>
  <c r="N192" i="1"/>
  <c r="F195" i="2" s="1"/>
  <c r="N168" i="1"/>
  <c r="F171" i="2" s="1"/>
  <c r="N156" i="1"/>
  <c r="F159" i="2" s="1"/>
  <c r="N108" i="1"/>
  <c r="N84"/>
  <c r="F87" i="2" s="1"/>
  <c r="N294" i="1"/>
  <c r="F297" i="2" s="1"/>
  <c r="A298"/>
  <c r="N270" i="1"/>
  <c r="A274" i="2"/>
  <c r="C274" s="1"/>
  <c r="N246" i="1"/>
  <c r="F249" i="2" s="1"/>
  <c r="N282" i="1"/>
  <c r="F285" i="2" s="1"/>
  <c r="N258" i="1"/>
  <c r="F261" i="2" s="1"/>
  <c r="A262"/>
  <c r="N227" i="1"/>
  <c r="N215"/>
  <c r="F218" i="2" s="1"/>
  <c r="N11" i="1"/>
  <c r="N299"/>
  <c r="F302" i="2" s="1"/>
  <c r="A303"/>
  <c r="A291"/>
  <c r="C291" s="1"/>
  <c r="A279"/>
  <c r="C279" s="1"/>
  <c r="A267"/>
  <c r="C267" s="1"/>
  <c r="A255"/>
  <c r="C255" s="1"/>
  <c r="A219"/>
  <c r="C219" s="1"/>
  <c r="A207"/>
  <c r="C207" s="1"/>
  <c r="A183"/>
  <c r="C183" s="1"/>
  <c r="A147"/>
  <c r="C147" s="1"/>
  <c r="A135"/>
  <c r="C135" s="1"/>
  <c r="A123"/>
  <c r="C123" s="1"/>
  <c r="A99"/>
  <c r="C99" s="1"/>
  <c r="A75"/>
  <c r="C75" s="1"/>
  <c r="A63"/>
  <c r="C63" s="1"/>
  <c r="A51"/>
  <c r="C51" s="1"/>
  <c r="A39"/>
  <c r="A27"/>
  <c r="C27" s="1"/>
  <c r="N12" i="1"/>
  <c r="N235"/>
  <c r="N5"/>
  <c r="F8" i="2" s="1"/>
  <c r="G8"/>
  <c r="K8"/>
  <c r="J8"/>
  <c r="B8"/>
  <c r="E8"/>
  <c r="I8"/>
  <c r="B14" l="1"/>
  <c r="K14"/>
  <c r="H14"/>
  <c r="X11" i="1"/>
  <c r="C14" i="2" s="1"/>
  <c r="F14"/>
  <c r="E14"/>
  <c r="X5" i="1"/>
  <c r="C8" i="2" s="1"/>
  <c r="X17" i="1"/>
  <c r="C20" i="2" s="1"/>
  <c r="B170"/>
  <c r="K284"/>
  <c r="C62"/>
  <c r="B260"/>
  <c r="J171"/>
  <c r="I231"/>
  <c r="C39"/>
  <c r="G93"/>
  <c r="G87"/>
  <c r="I140"/>
  <c r="B87"/>
  <c r="K87"/>
  <c r="J195"/>
  <c r="H249"/>
  <c r="K249"/>
  <c r="E249"/>
  <c r="I249"/>
  <c r="B261"/>
  <c r="K260"/>
  <c r="B284"/>
  <c r="G297"/>
  <c r="J69"/>
  <c r="F69"/>
  <c r="E69"/>
  <c r="B69"/>
  <c r="I69"/>
  <c r="H69"/>
  <c r="C38"/>
  <c r="AB6" i="1"/>
  <c r="X6" s="1"/>
  <c r="C7"/>
  <c r="C8" s="1"/>
  <c r="C9" s="1"/>
  <c r="C10" s="1"/>
  <c r="I260" i="2"/>
  <c r="G159"/>
  <c r="J284"/>
  <c r="G117"/>
  <c r="B38"/>
  <c r="H38"/>
  <c r="K38"/>
  <c r="J38"/>
  <c r="F38"/>
  <c r="C56" i="1"/>
  <c r="AB55"/>
  <c r="C104"/>
  <c r="AB103"/>
  <c r="C152"/>
  <c r="AB151"/>
  <c r="C200"/>
  <c r="N200" s="1"/>
  <c r="AB199"/>
  <c r="C248"/>
  <c r="AB247"/>
  <c r="C296"/>
  <c r="A299" i="2" s="1"/>
  <c r="C299" s="1"/>
  <c r="AB295" i="1"/>
  <c r="C50"/>
  <c r="AB49"/>
  <c r="C98"/>
  <c r="AB97"/>
  <c r="C146"/>
  <c r="AB145"/>
  <c r="C194"/>
  <c r="AB193"/>
  <c r="C242"/>
  <c r="AB241"/>
  <c r="C290"/>
  <c r="AB289"/>
  <c r="C44"/>
  <c r="AB43"/>
  <c r="C92"/>
  <c r="AB91"/>
  <c r="C140"/>
  <c r="AB139"/>
  <c r="C188"/>
  <c r="N188" s="1"/>
  <c r="AB187"/>
  <c r="C236"/>
  <c r="AB235"/>
  <c r="C284"/>
  <c r="A287" i="2" s="1"/>
  <c r="C287" s="1"/>
  <c r="AB283" i="1"/>
  <c r="C62"/>
  <c r="AB61"/>
  <c r="C110"/>
  <c r="AB109"/>
  <c r="C158"/>
  <c r="AB157"/>
  <c r="C206"/>
  <c r="AB205"/>
  <c r="C254"/>
  <c r="AB253"/>
  <c r="C302"/>
  <c r="AB301"/>
  <c r="X301" s="1"/>
  <c r="I284" i="2"/>
  <c r="I159"/>
  <c r="I171"/>
  <c r="K231"/>
  <c r="G165"/>
  <c r="H159"/>
  <c r="C80" i="1"/>
  <c r="AB79"/>
  <c r="C128"/>
  <c r="AB127"/>
  <c r="C176"/>
  <c r="AB175"/>
  <c r="C224"/>
  <c r="AB223"/>
  <c r="C272"/>
  <c r="A275" i="2" s="1"/>
  <c r="C275" s="1"/>
  <c r="AB271" i="1"/>
  <c r="C26"/>
  <c r="AB25"/>
  <c r="X25" s="1"/>
  <c r="C74"/>
  <c r="AB73"/>
  <c r="C122"/>
  <c r="AB121"/>
  <c r="C170"/>
  <c r="AB169"/>
  <c r="C218"/>
  <c r="AB217"/>
  <c r="C266"/>
  <c r="AB265"/>
  <c r="C68"/>
  <c r="AB67"/>
  <c r="C116"/>
  <c r="AB115"/>
  <c r="C164"/>
  <c r="AB163"/>
  <c r="C212"/>
  <c r="AB211"/>
  <c r="C260"/>
  <c r="AB259"/>
  <c r="C14"/>
  <c r="AB13"/>
  <c r="X13" s="1"/>
  <c r="C86"/>
  <c r="AB85"/>
  <c r="C134"/>
  <c r="AB133"/>
  <c r="C182"/>
  <c r="AB181"/>
  <c r="C230"/>
  <c r="N230" s="1"/>
  <c r="AB229"/>
  <c r="C278"/>
  <c r="AB277"/>
  <c r="AB31"/>
  <c r="X31" s="1"/>
  <c r="C32"/>
  <c r="AB19"/>
  <c r="X19" s="1"/>
  <c r="C20"/>
  <c r="G285" i="2"/>
  <c r="G171"/>
  <c r="G69"/>
  <c r="G231"/>
  <c r="J250"/>
  <c r="C250"/>
  <c r="F110"/>
  <c r="C110"/>
  <c r="H206"/>
  <c r="C206"/>
  <c r="H266"/>
  <c r="C266"/>
  <c r="I272"/>
  <c r="C272"/>
  <c r="I189"/>
  <c r="C189"/>
  <c r="K164"/>
  <c r="C164"/>
  <c r="H21"/>
  <c r="C21"/>
  <c r="J213"/>
  <c r="C213"/>
  <c r="J111"/>
  <c r="C111"/>
  <c r="I273"/>
  <c r="C273"/>
  <c r="I243"/>
  <c r="C243"/>
  <c r="I262"/>
  <c r="C262"/>
  <c r="I298"/>
  <c r="C298"/>
  <c r="F86"/>
  <c r="C86"/>
  <c r="H194"/>
  <c r="C194"/>
  <c r="H254"/>
  <c r="C254"/>
  <c r="H303"/>
  <c r="C303"/>
  <c r="E196"/>
  <c r="C196"/>
  <c r="E244"/>
  <c r="C244"/>
  <c r="F170"/>
  <c r="C170"/>
  <c r="H242"/>
  <c r="C242"/>
  <c r="H290"/>
  <c r="C290"/>
  <c r="K248"/>
  <c r="C248"/>
  <c r="I296"/>
  <c r="C296"/>
  <c r="G141"/>
  <c r="C141"/>
  <c r="F158"/>
  <c r="C158"/>
  <c r="H230"/>
  <c r="C230"/>
  <c r="H278"/>
  <c r="C278"/>
  <c r="G45"/>
  <c r="C45"/>
  <c r="H182"/>
  <c r="C182"/>
  <c r="G261"/>
  <c r="C261"/>
  <c r="I14"/>
  <c r="F21"/>
  <c r="H213"/>
  <c r="F189"/>
  <c r="K158"/>
  <c r="H296"/>
  <c r="F248"/>
  <c r="E164"/>
  <c r="J21"/>
  <c r="K189"/>
  <c r="K273"/>
  <c r="E243"/>
  <c r="I164"/>
  <c r="H111"/>
  <c r="K243"/>
  <c r="G189"/>
  <c r="G243"/>
  <c r="F230"/>
  <c r="F273"/>
  <c r="F111"/>
  <c r="H189"/>
  <c r="H273"/>
  <c r="B230"/>
  <c r="J158"/>
  <c r="K230"/>
  <c r="K278"/>
  <c r="F296"/>
  <c r="E248"/>
  <c r="B21"/>
  <c r="B213"/>
  <c r="I21"/>
  <c r="J189"/>
  <c r="K213"/>
  <c r="J273"/>
  <c r="E111"/>
  <c r="H164"/>
  <c r="E158"/>
  <c r="E230"/>
  <c r="B243"/>
  <c r="K111"/>
  <c r="J243"/>
  <c r="G21"/>
  <c r="G273"/>
  <c r="G111"/>
  <c r="B158"/>
  <c r="I158"/>
  <c r="J230"/>
  <c r="J278"/>
  <c r="E296"/>
  <c r="B189"/>
  <c r="B273"/>
  <c r="B111"/>
  <c r="F278"/>
  <c r="A238"/>
  <c r="C238" s="1"/>
  <c r="E278"/>
  <c r="J272"/>
  <c r="E254"/>
  <c r="F254"/>
  <c r="F194"/>
  <c r="E86"/>
  <c r="A237"/>
  <c r="C237" s="1"/>
  <c r="N234" i="1"/>
  <c r="O23"/>
  <c r="G26" i="2" s="1"/>
  <c r="B29" i="1"/>
  <c r="J248" i="2"/>
  <c r="K296"/>
  <c r="E170"/>
  <c r="B248"/>
  <c r="B296"/>
  <c r="I248"/>
  <c r="J296"/>
  <c r="O17" i="1"/>
  <c r="G20" i="2" s="1"/>
  <c r="O11" i="1"/>
  <c r="G14" i="2" s="1"/>
  <c r="A105"/>
  <c r="C105" s="1"/>
  <c r="N102" i="1"/>
  <c r="A81" i="2"/>
  <c r="C81" s="1"/>
  <c r="N78" i="1"/>
  <c r="A177" i="2"/>
  <c r="C177" s="1"/>
  <c r="N174" i="1"/>
  <c r="A201" i="2"/>
  <c r="C201" s="1"/>
  <c r="N198" i="1"/>
  <c r="A57" i="2"/>
  <c r="C57" s="1"/>
  <c r="N54" i="1"/>
  <c r="A153" i="2"/>
  <c r="C153" s="1"/>
  <c r="N150" i="1"/>
  <c r="A33" i="2"/>
  <c r="C33" s="1"/>
  <c r="N30" i="1"/>
  <c r="A129" i="2"/>
  <c r="C129" s="1"/>
  <c r="N126" i="1"/>
  <c r="A225" i="2"/>
  <c r="C225" s="1"/>
  <c r="N222" i="1"/>
  <c r="B266" i="2"/>
  <c r="H110"/>
  <c r="H170"/>
  <c r="K206"/>
  <c r="K242"/>
  <c r="I266"/>
  <c r="K290"/>
  <c r="F242"/>
  <c r="F290"/>
  <c r="E110"/>
  <c r="E206"/>
  <c r="E242"/>
  <c r="E290"/>
  <c r="F206"/>
  <c r="B110"/>
  <c r="B206"/>
  <c r="B242"/>
  <c r="B290"/>
  <c r="J110"/>
  <c r="J170"/>
  <c r="I206"/>
  <c r="I242"/>
  <c r="K266"/>
  <c r="I290"/>
  <c r="H260"/>
  <c r="F260"/>
  <c r="E260"/>
  <c r="J260"/>
  <c r="F266"/>
  <c r="E266"/>
  <c r="H51"/>
  <c r="I51"/>
  <c r="J51"/>
  <c r="G51"/>
  <c r="K51"/>
  <c r="B51"/>
  <c r="E51"/>
  <c r="H123"/>
  <c r="G123"/>
  <c r="I123"/>
  <c r="B123"/>
  <c r="E123"/>
  <c r="J123"/>
  <c r="K123"/>
  <c r="I291"/>
  <c r="J291"/>
  <c r="K291"/>
  <c r="G291"/>
  <c r="B291"/>
  <c r="E291"/>
  <c r="H286"/>
  <c r="G286"/>
  <c r="E286"/>
  <c r="H274"/>
  <c r="G274"/>
  <c r="E274"/>
  <c r="B262"/>
  <c r="K286"/>
  <c r="J298"/>
  <c r="H196"/>
  <c r="H244"/>
  <c r="G39"/>
  <c r="H39"/>
  <c r="B39"/>
  <c r="E39"/>
  <c r="I39"/>
  <c r="J39"/>
  <c r="K39"/>
  <c r="H99"/>
  <c r="I99"/>
  <c r="J99"/>
  <c r="G99"/>
  <c r="K99"/>
  <c r="B99"/>
  <c r="E99"/>
  <c r="G183"/>
  <c r="J183"/>
  <c r="B183"/>
  <c r="E183"/>
  <c r="H183"/>
  <c r="K183"/>
  <c r="I183"/>
  <c r="K219"/>
  <c r="G219"/>
  <c r="B219"/>
  <c r="E219"/>
  <c r="H219"/>
  <c r="I219"/>
  <c r="J219"/>
  <c r="G279"/>
  <c r="J279"/>
  <c r="B279"/>
  <c r="E279"/>
  <c r="H279"/>
  <c r="K279"/>
  <c r="I279"/>
  <c r="H250"/>
  <c r="E250"/>
  <c r="G250"/>
  <c r="A112"/>
  <c r="C112" s="1"/>
  <c r="A172"/>
  <c r="C172" s="1"/>
  <c r="A22"/>
  <c r="C22" s="1"/>
  <c r="B274"/>
  <c r="I250"/>
  <c r="K274"/>
  <c r="J286"/>
  <c r="H27"/>
  <c r="G27"/>
  <c r="I27"/>
  <c r="B27"/>
  <c r="E27"/>
  <c r="J27"/>
  <c r="K27"/>
  <c r="H75"/>
  <c r="G75"/>
  <c r="I75"/>
  <c r="B75"/>
  <c r="E75"/>
  <c r="J75"/>
  <c r="K75"/>
  <c r="H147"/>
  <c r="I147"/>
  <c r="J147"/>
  <c r="G147"/>
  <c r="K147"/>
  <c r="B147"/>
  <c r="E147"/>
  <c r="I207"/>
  <c r="G207"/>
  <c r="J207"/>
  <c r="B207"/>
  <c r="E207"/>
  <c r="K207"/>
  <c r="K267"/>
  <c r="G267"/>
  <c r="B267"/>
  <c r="E267"/>
  <c r="H267"/>
  <c r="I267"/>
  <c r="J267"/>
  <c r="H262"/>
  <c r="E262"/>
  <c r="G262"/>
  <c r="H298"/>
  <c r="E298"/>
  <c r="G298"/>
  <c r="J232"/>
  <c r="K232"/>
  <c r="B232"/>
  <c r="G232"/>
  <c r="I232"/>
  <c r="B286"/>
  <c r="K262"/>
  <c r="J274"/>
  <c r="I286"/>
  <c r="H207"/>
  <c r="H291"/>
  <c r="H63"/>
  <c r="I63"/>
  <c r="G63"/>
  <c r="J63"/>
  <c r="B63"/>
  <c r="E63"/>
  <c r="K63"/>
  <c r="G135"/>
  <c r="H135"/>
  <c r="B135"/>
  <c r="E135"/>
  <c r="I135"/>
  <c r="J135"/>
  <c r="K135"/>
  <c r="A203"/>
  <c r="C203" s="1"/>
  <c r="I255"/>
  <c r="G255"/>
  <c r="J255"/>
  <c r="B255"/>
  <c r="E255"/>
  <c r="K255"/>
  <c r="G303"/>
  <c r="I303"/>
  <c r="J303"/>
  <c r="B303"/>
  <c r="E303"/>
  <c r="K303"/>
  <c r="A88"/>
  <c r="C88" s="1"/>
  <c r="A160"/>
  <c r="C160" s="1"/>
  <c r="I196"/>
  <c r="B196"/>
  <c r="G196"/>
  <c r="J196"/>
  <c r="K196"/>
  <c r="I244"/>
  <c r="B244"/>
  <c r="G244"/>
  <c r="J244"/>
  <c r="K244"/>
  <c r="B250"/>
  <c r="B298"/>
  <c r="K250"/>
  <c r="J262"/>
  <c r="I274"/>
  <c r="K298"/>
  <c r="H232"/>
  <c r="E232"/>
  <c r="H255"/>
  <c r="A58"/>
  <c r="C58" s="1"/>
  <c r="A106"/>
  <c r="C106" s="1"/>
  <c r="A154"/>
  <c r="C154" s="1"/>
  <c r="N199" i="1"/>
  <c r="A202" i="2"/>
  <c r="C202" s="1"/>
  <c r="A46"/>
  <c r="C46" s="1"/>
  <c r="A94"/>
  <c r="C94" s="1"/>
  <c r="A142"/>
  <c r="C142" s="1"/>
  <c r="A190"/>
  <c r="C190" s="1"/>
  <c r="N187" i="1"/>
  <c r="A34" i="2"/>
  <c r="C34" s="1"/>
  <c r="A82"/>
  <c r="C82" s="1"/>
  <c r="A130"/>
  <c r="C130" s="1"/>
  <c r="A178"/>
  <c r="C178" s="1"/>
  <c r="A226"/>
  <c r="C226" s="1"/>
  <c r="A70"/>
  <c r="C70" s="1"/>
  <c r="A118"/>
  <c r="C118" s="1"/>
  <c r="A166"/>
  <c r="C166" s="1"/>
  <c r="A214"/>
  <c r="C214" s="1"/>
  <c r="N6" i="1"/>
  <c r="A9" i="2"/>
  <c r="N13" i="1"/>
  <c r="A15" i="2"/>
  <c r="C15" s="1"/>
  <c r="N60" i="1"/>
  <c r="F63" i="2" s="1"/>
  <c r="N132" i="1"/>
  <c r="F135" i="2" s="1"/>
  <c r="A256"/>
  <c r="C256" s="1"/>
  <c r="N252" i="1"/>
  <c r="F255" i="2" s="1"/>
  <c r="A304"/>
  <c r="N300" i="1"/>
  <c r="F303" i="2" s="1"/>
  <c r="N271" i="1"/>
  <c r="F274" i="2" s="1"/>
  <c r="N229" i="1"/>
  <c r="F232" i="2" s="1"/>
  <c r="A245"/>
  <c r="C245" s="1"/>
  <c r="N241" i="1"/>
  <c r="F244" i="2" s="1"/>
  <c r="N48" i="1"/>
  <c r="F51" i="2" s="1"/>
  <c r="N120" i="1"/>
  <c r="F123" i="2" s="1"/>
  <c r="N236" i="1"/>
  <c r="A292" i="2"/>
  <c r="C292" s="1"/>
  <c r="N288" i="1"/>
  <c r="F291" i="2" s="1"/>
  <c r="A197"/>
  <c r="C197" s="1"/>
  <c r="N193" i="1"/>
  <c r="F196" i="2" s="1"/>
  <c r="N36" i="1"/>
  <c r="F39" i="2" s="1"/>
  <c r="N96" i="1"/>
  <c r="F99" i="2" s="1"/>
  <c r="N180" i="1"/>
  <c r="F183" i="2" s="1"/>
  <c r="N216" i="1"/>
  <c r="F219" i="2" s="1"/>
  <c r="N217" i="1"/>
  <c r="A280" i="2"/>
  <c r="C280" s="1"/>
  <c r="N276" i="1"/>
  <c r="F279" i="2" s="1"/>
  <c r="N259" i="1"/>
  <c r="F262" i="2" s="1"/>
  <c r="A263"/>
  <c r="C263" s="1"/>
  <c r="N295" i="1"/>
  <c r="F298" i="2" s="1"/>
  <c r="N25" i="1"/>
  <c r="N24"/>
  <c r="F27" i="2" s="1"/>
  <c r="N72" i="1"/>
  <c r="F75" i="2" s="1"/>
  <c r="N144" i="1"/>
  <c r="F147" i="2" s="1"/>
  <c r="A208"/>
  <c r="C208" s="1"/>
  <c r="N204" i="1"/>
  <c r="F207" i="2" s="1"/>
  <c r="A268"/>
  <c r="C268" s="1"/>
  <c r="N264" i="1"/>
  <c r="F267" i="2" s="1"/>
  <c r="N283" i="1"/>
  <c r="F286" i="2" s="1"/>
  <c r="N247" i="1"/>
  <c r="F250" i="2" s="1"/>
  <c r="N31" i="1"/>
  <c r="N121"/>
  <c r="N91"/>
  <c r="N139"/>
  <c r="N211"/>
  <c r="N85"/>
  <c r="N133"/>
  <c r="N79"/>
  <c r="N127"/>
  <c r="N175"/>
  <c r="N223"/>
  <c r="N49"/>
  <c r="N97"/>
  <c r="N145"/>
  <c r="N37"/>
  <c r="N181"/>
  <c r="N151"/>
  <c r="N248"/>
  <c r="N19"/>
  <c r="N67"/>
  <c r="N115"/>
  <c r="N163"/>
  <c r="N61"/>
  <c r="N109"/>
  <c r="N157"/>
  <c r="N55"/>
  <c r="N103"/>
  <c r="N73"/>
  <c r="N169"/>
  <c r="N43"/>
  <c r="C9" i="2" l="1"/>
  <c r="AB7" i="1"/>
  <c r="X7" s="1"/>
  <c r="C304" i="2"/>
  <c r="G238"/>
  <c r="E238"/>
  <c r="F238"/>
  <c r="J238"/>
  <c r="C279" i="1"/>
  <c r="AB278"/>
  <c r="C183"/>
  <c r="AB182"/>
  <c r="C87"/>
  <c r="AB86"/>
  <c r="C261"/>
  <c r="AB260"/>
  <c r="C165"/>
  <c r="AB164"/>
  <c r="C69"/>
  <c r="AB68"/>
  <c r="C219"/>
  <c r="AB218"/>
  <c r="C123"/>
  <c r="AB122"/>
  <c r="AB26"/>
  <c r="X26" s="1"/>
  <c r="C27"/>
  <c r="C225"/>
  <c r="AB224"/>
  <c r="C129"/>
  <c r="AB128"/>
  <c r="C255"/>
  <c r="AB254"/>
  <c r="C159"/>
  <c r="AB158"/>
  <c r="C63"/>
  <c r="AB62"/>
  <c r="C237"/>
  <c r="A240" i="2" s="1"/>
  <c r="C240" s="1"/>
  <c r="AB236" i="1"/>
  <c r="A239" i="2"/>
  <c r="F239" s="1"/>
  <c r="C141" i="1"/>
  <c r="AB140"/>
  <c r="C45"/>
  <c r="AB44"/>
  <c r="C243"/>
  <c r="AB242"/>
  <c r="C147"/>
  <c r="AB146"/>
  <c r="C51"/>
  <c r="AB50"/>
  <c r="C249"/>
  <c r="AB248"/>
  <c r="C153"/>
  <c r="AB152"/>
  <c r="C57"/>
  <c r="AB56"/>
  <c r="C21"/>
  <c r="AB20"/>
  <c r="X20" s="1"/>
  <c r="C231"/>
  <c r="N231" s="1"/>
  <c r="AB230"/>
  <c r="C135"/>
  <c r="AB134"/>
  <c r="AB14"/>
  <c r="X14" s="1"/>
  <c r="C15"/>
  <c r="C213"/>
  <c r="AB212"/>
  <c r="C117"/>
  <c r="AB116"/>
  <c r="C267"/>
  <c r="AB266"/>
  <c r="C171"/>
  <c r="AB170"/>
  <c r="C75"/>
  <c r="AB74"/>
  <c r="C273"/>
  <c r="A276" i="2" s="1"/>
  <c r="C276" s="1"/>
  <c r="AB272" i="1"/>
  <c r="C177"/>
  <c r="AB176"/>
  <c r="C81"/>
  <c r="AB80"/>
  <c r="C303"/>
  <c r="AB302"/>
  <c r="X302" s="1"/>
  <c r="C207"/>
  <c r="AB206"/>
  <c r="C111"/>
  <c r="AB110"/>
  <c r="C285"/>
  <c r="A288" i="2" s="1"/>
  <c r="C288" s="1"/>
  <c r="AB284" i="1"/>
  <c r="C189"/>
  <c r="N189" s="1"/>
  <c r="AB188"/>
  <c r="A191" i="2"/>
  <c r="C93" i="1"/>
  <c r="AB92"/>
  <c r="C291"/>
  <c r="AB290"/>
  <c r="C195"/>
  <c r="AB194"/>
  <c r="C99"/>
  <c r="AB98"/>
  <c r="C297"/>
  <c r="AB296"/>
  <c r="C201"/>
  <c r="A204" i="2" s="1"/>
  <c r="C204" s="1"/>
  <c r="AB200" i="1"/>
  <c r="C105"/>
  <c r="AB104"/>
  <c r="C33"/>
  <c r="AB32"/>
  <c r="X32" s="1"/>
  <c r="AB8"/>
  <c r="X8" s="1"/>
  <c r="H238" i="2"/>
  <c r="K238"/>
  <c r="B238"/>
  <c r="I238"/>
  <c r="I237"/>
  <c r="F237"/>
  <c r="J237"/>
  <c r="K237"/>
  <c r="E237"/>
  <c r="H237"/>
  <c r="G237"/>
  <c r="B237"/>
  <c r="O29" i="1"/>
  <c r="G32" i="2" s="1"/>
  <c r="B35" i="1"/>
  <c r="B225" i="2"/>
  <c r="I225"/>
  <c r="J225"/>
  <c r="E225"/>
  <c r="F225"/>
  <c r="G225"/>
  <c r="K225"/>
  <c r="H225"/>
  <c r="H33"/>
  <c r="B33"/>
  <c r="I33"/>
  <c r="J33"/>
  <c r="E33"/>
  <c r="F33"/>
  <c r="G33"/>
  <c r="K33"/>
  <c r="H57"/>
  <c r="E57"/>
  <c r="F57"/>
  <c r="G57"/>
  <c r="I57"/>
  <c r="J57"/>
  <c r="B57"/>
  <c r="K57"/>
  <c r="H177"/>
  <c r="B177"/>
  <c r="I177"/>
  <c r="J177"/>
  <c r="E177"/>
  <c r="F177"/>
  <c r="G177"/>
  <c r="K177"/>
  <c r="H105"/>
  <c r="E105"/>
  <c r="F105"/>
  <c r="G105"/>
  <c r="I105"/>
  <c r="J105"/>
  <c r="B105"/>
  <c r="K105"/>
  <c r="H129"/>
  <c r="B129"/>
  <c r="I129"/>
  <c r="J129"/>
  <c r="E129"/>
  <c r="F129"/>
  <c r="G129"/>
  <c r="K129"/>
  <c r="H153"/>
  <c r="E153"/>
  <c r="F153"/>
  <c r="G153"/>
  <c r="I153"/>
  <c r="J153"/>
  <c r="B153"/>
  <c r="K153"/>
  <c r="J201"/>
  <c r="E201"/>
  <c r="F201"/>
  <c r="G201"/>
  <c r="K201"/>
  <c r="H201"/>
  <c r="B201"/>
  <c r="I201"/>
  <c r="H81"/>
  <c r="B81"/>
  <c r="I81"/>
  <c r="J81"/>
  <c r="E81"/>
  <c r="F81"/>
  <c r="G81"/>
  <c r="K81"/>
  <c r="G208"/>
  <c r="I208"/>
  <c r="J208"/>
  <c r="K208"/>
  <c r="B208"/>
  <c r="E208"/>
  <c r="H208"/>
  <c r="A76"/>
  <c r="C76" s="1"/>
  <c r="J280"/>
  <c r="K280"/>
  <c r="B280"/>
  <c r="G280"/>
  <c r="I280"/>
  <c r="E280"/>
  <c r="H280"/>
  <c r="A184"/>
  <c r="C184" s="1"/>
  <c r="A40"/>
  <c r="C40" s="1"/>
  <c r="I292"/>
  <c r="B292"/>
  <c r="G292"/>
  <c r="J292"/>
  <c r="K292"/>
  <c r="E292"/>
  <c r="H292"/>
  <c r="A52"/>
  <c r="C52" s="1"/>
  <c r="A233"/>
  <c r="C233" s="1"/>
  <c r="G304"/>
  <c r="I304"/>
  <c r="J304"/>
  <c r="K304"/>
  <c r="B304"/>
  <c r="E304"/>
  <c r="H304"/>
  <c r="A136"/>
  <c r="C136" s="1"/>
  <c r="A167"/>
  <c r="C167" s="1"/>
  <c r="A71"/>
  <c r="C71" s="1"/>
  <c r="H226"/>
  <c r="G226"/>
  <c r="E226"/>
  <c r="F226"/>
  <c r="I226"/>
  <c r="J226"/>
  <c r="K226"/>
  <c r="B226"/>
  <c r="F130"/>
  <c r="G130"/>
  <c r="E130"/>
  <c r="I130"/>
  <c r="J130"/>
  <c r="K130"/>
  <c r="B130"/>
  <c r="H130"/>
  <c r="F34"/>
  <c r="G34"/>
  <c r="E34"/>
  <c r="I34"/>
  <c r="J34"/>
  <c r="K34"/>
  <c r="B34"/>
  <c r="H34"/>
  <c r="A143"/>
  <c r="C143" s="1"/>
  <c r="A47"/>
  <c r="C47" s="1"/>
  <c r="A107"/>
  <c r="C107" s="1"/>
  <c r="G160"/>
  <c r="H160"/>
  <c r="I160"/>
  <c r="J160"/>
  <c r="K160"/>
  <c r="B160"/>
  <c r="E160"/>
  <c r="F160"/>
  <c r="A23"/>
  <c r="C23" s="1"/>
  <c r="A113"/>
  <c r="C113" s="1"/>
  <c r="I287"/>
  <c r="G287"/>
  <c r="J287"/>
  <c r="B287"/>
  <c r="E287"/>
  <c r="K287"/>
  <c r="H287"/>
  <c r="K299"/>
  <c r="G299"/>
  <c r="B299"/>
  <c r="E299"/>
  <c r="H299"/>
  <c r="I299"/>
  <c r="J299"/>
  <c r="F166"/>
  <c r="E166"/>
  <c r="G166"/>
  <c r="I166"/>
  <c r="J166"/>
  <c r="K166"/>
  <c r="H166"/>
  <c r="B166"/>
  <c r="F70"/>
  <c r="E70"/>
  <c r="G70"/>
  <c r="I70"/>
  <c r="J70"/>
  <c r="K70"/>
  <c r="H70"/>
  <c r="B70"/>
  <c r="A179"/>
  <c r="C179" s="1"/>
  <c r="A83"/>
  <c r="C83" s="1"/>
  <c r="F142"/>
  <c r="G142"/>
  <c r="E142"/>
  <c r="I142"/>
  <c r="J142"/>
  <c r="B142"/>
  <c r="K142"/>
  <c r="H142"/>
  <c r="F46"/>
  <c r="G46"/>
  <c r="E46"/>
  <c r="I46"/>
  <c r="J46"/>
  <c r="B46"/>
  <c r="K46"/>
  <c r="H46"/>
  <c r="H202"/>
  <c r="E202"/>
  <c r="F202"/>
  <c r="G202"/>
  <c r="K202"/>
  <c r="B202"/>
  <c r="I202"/>
  <c r="J202"/>
  <c r="F106"/>
  <c r="E106"/>
  <c r="G106"/>
  <c r="I106"/>
  <c r="B106"/>
  <c r="J106"/>
  <c r="K106"/>
  <c r="H106"/>
  <c r="A89"/>
  <c r="C89" s="1"/>
  <c r="F22"/>
  <c r="E22"/>
  <c r="G22"/>
  <c r="I22"/>
  <c r="J22"/>
  <c r="K22"/>
  <c r="H22"/>
  <c r="B22"/>
  <c r="G112"/>
  <c r="H112"/>
  <c r="I112"/>
  <c r="J112"/>
  <c r="K112"/>
  <c r="B112"/>
  <c r="E112"/>
  <c r="F112"/>
  <c r="K268"/>
  <c r="I268"/>
  <c r="B268"/>
  <c r="G268"/>
  <c r="J268"/>
  <c r="E268"/>
  <c r="H268"/>
  <c r="A148"/>
  <c r="C148" s="1"/>
  <c r="A28"/>
  <c r="C28" s="1"/>
  <c r="A100"/>
  <c r="C100" s="1"/>
  <c r="G197"/>
  <c r="I197"/>
  <c r="J197"/>
  <c r="K197"/>
  <c r="B197"/>
  <c r="E197"/>
  <c r="H197"/>
  <c r="A124"/>
  <c r="C124" s="1"/>
  <c r="G245"/>
  <c r="I245"/>
  <c r="J245"/>
  <c r="K245"/>
  <c r="B245"/>
  <c r="E245"/>
  <c r="H245"/>
  <c r="G256"/>
  <c r="I256"/>
  <c r="J256"/>
  <c r="K256"/>
  <c r="B256"/>
  <c r="E256"/>
  <c r="H256"/>
  <c r="A64"/>
  <c r="C64" s="1"/>
  <c r="A215"/>
  <c r="C215" s="1"/>
  <c r="A119"/>
  <c r="C119" s="1"/>
  <c r="F178"/>
  <c r="G178"/>
  <c r="E178"/>
  <c r="I178"/>
  <c r="J178"/>
  <c r="K178"/>
  <c r="B178"/>
  <c r="H178"/>
  <c r="F82"/>
  <c r="G82"/>
  <c r="E82"/>
  <c r="I82"/>
  <c r="J82"/>
  <c r="K82"/>
  <c r="B82"/>
  <c r="H82"/>
  <c r="H190"/>
  <c r="G190"/>
  <c r="E190"/>
  <c r="F190"/>
  <c r="I190"/>
  <c r="B190"/>
  <c r="J190"/>
  <c r="K190"/>
  <c r="A95"/>
  <c r="C95" s="1"/>
  <c r="A155"/>
  <c r="C155" s="1"/>
  <c r="A59"/>
  <c r="C59" s="1"/>
  <c r="H88"/>
  <c r="I88"/>
  <c r="B88"/>
  <c r="G88"/>
  <c r="J88"/>
  <c r="K88"/>
  <c r="E88"/>
  <c r="F88"/>
  <c r="K203"/>
  <c r="G203"/>
  <c r="B203"/>
  <c r="E203"/>
  <c r="F203"/>
  <c r="H203"/>
  <c r="I203"/>
  <c r="J203"/>
  <c r="A173"/>
  <c r="C173" s="1"/>
  <c r="A251"/>
  <c r="C251" s="1"/>
  <c r="G263"/>
  <c r="J263"/>
  <c r="B263"/>
  <c r="E263"/>
  <c r="H263"/>
  <c r="K263"/>
  <c r="I263"/>
  <c r="A220"/>
  <c r="C220" s="1"/>
  <c r="I275"/>
  <c r="J275"/>
  <c r="K275"/>
  <c r="G275"/>
  <c r="B275"/>
  <c r="E275"/>
  <c r="H275"/>
  <c r="H214"/>
  <c r="E214"/>
  <c r="F214"/>
  <c r="G214"/>
  <c r="J214"/>
  <c r="K214"/>
  <c r="I214"/>
  <c r="B214"/>
  <c r="F118"/>
  <c r="E118"/>
  <c r="G118"/>
  <c r="I118"/>
  <c r="J118"/>
  <c r="K118"/>
  <c r="H118"/>
  <c r="B118"/>
  <c r="A227"/>
  <c r="C227" s="1"/>
  <c r="A131"/>
  <c r="C131" s="1"/>
  <c r="A35"/>
  <c r="C35" s="1"/>
  <c r="F94"/>
  <c r="G94"/>
  <c r="E94"/>
  <c r="I94"/>
  <c r="J94"/>
  <c r="B94"/>
  <c r="K94"/>
  <c r="H94"/>
  <c r="F154"/>
  <c r="E154"/>
  <c r="G154"/>
  <c r="I154"/>
  <c r="B154"/>
  <c r="J154"/>
  <c r="K154"/>
  <c r="H154"/>
  <c r="F58"/>
  <c r="E58"/>
  <c r="G58"/>
  <c r="I58"/>
  <c r="B58"/>
  <c r="J58"/>
  <c r="K58"/>
  <c r="H58"/>
  <c r="A161"/>
  <c r="C161" s="1"/>
  <c r="H172"/>
  <c r="I172"/>
  <c r="J172"/>
  <c r="B172"/>
  <c r="G172"/>
  <c r="K172"/>
  <c r="E172"/>
  <c r="F172"/>
  <c r="H9"/>
  <c r="I9"/>
  <c r="E9"/>
  <c r="B9"/>
  <c r="J9"/>
  <c r="F9"/>
  <c r="K9"/>
  <c r="G9"/>
  <c r="N7" i="1"/>
  <c r="A10" i="2"/>
  <c r="N14" i="1"/>
  <c r="A16" i="2"/>
  <c r="C16" s="1"/>
  <c r="H15"/>
  <c r="K15"/>
  <c r="G15"/>
  <c r="B15"/>
  <c r="J15"/>
  <c r="F15"/>
  <c r="I15"/>
  <c r="E15"/>
  <c r="A269"/>
  <c r="C269" s="1"/>
  <c r="N265" i="1"/>
  <c r="F268" i="2" s="1"/>
  <c r="A293"/>
  <c r="C293" s="1"/>
  <c r="N289" i="1"/>
  <c r="F292" i="2" s="1"/>
  <c r="A257"/>
  <c r="C257" s="1"/>
  <c r="N253" i="1"/>
  <c r="F256" i="2" s="1"/>
  <c r="A209"/>
  <c r="C209" s="1"/>
  <c r="N205" i="1"/>
  <c r="F208" i="2" s="1"/>
  <c r="A300"/>
  <c r="C300" s="1"/>
  <c r="N296" i="1"/>
  <c r="F299" i="2" s="1"/>
  <c r="A281"/>
  <c r="C281" s="1"/>
  <c r="N277" i="1"/>
  <c r="F280" i="2" s="1"/>
  <c r="N242" i="1"/>
  <c r="F245" i="2" s="1"/>
  <c r="A246"/>
  <c r="C246" s="1"/>
  <c r="N272" i="1"/>
  <c r="F275" i="2" s="1"/>
  <c r="N284" i="1"/>
  <c r="F287" i="2" s="1"/>
  <c r="A264"/>
  <c r="C264" s="1"/>
  <c r="N260" i="1"/>
  <c r="F263" i="2" s="1"/>
  <c r="N194" i="1"/>
  <c r="F197" i="2" s="1"/>
  <c r="A198"/>
  <c r="C198" s="1"/>
  <c r="A305"/>
  <c r="N301" i="1"/>
  <c r="F304" i="2" s="1"/>
  <c r="N44" i="1"/>
  <c r="N74"/>
  <c r="N68"/>
  <c r="N26"/>
  <c r="N20"/>
  <c r="N38"/>
  <c r="N50"/>
  <c r="N128"/>
  <c r="N134"/>
  <c r="N140"/>
  <c r="N158"/>
  <c r="N152"/>
  <c r="N224"/>
  <c r="N80"/>
  <c r="N86"/>
  <c r="N92"/>
  <c r="N218"/>
  <c r="N32"/>
  <c r="N170"/>
  <c r="N104"/>
  <c r="N164"/>
  <c r="N116"/>
  <c r="N56"/>
  <c r="N110"/>
  <c r="N249"/>
  <c r="N146"/>
  <c r="N176"/>
  <c r="N212"/>
  <c r="N62"/>
  <c r="N182"/>
  <c r="N98"/>
  <c r="N122"/>
  <c r="C10" i="2" l="1"/>
  <c r="C305"/>
  <c r="N201" i="1"/>
  <c r="C106"/>
  <c r="AB106" s="1"/>
  <c r="AB105"/>
  <c r="C298"/>
  <c r="AB298" s="1"/>
  <c r="AB297"/>
  <c r="C196"/>
  <c r="AB196" s="1"/>
  <c r="AB195"/>
  <c r="C94"/>
  <c r="AB94" s="1"/>
  <c r="AB93"/>
  <c r="AB15"/>
  <c r="X15" s="1"/>
  <c r="C16"/>
  <c r="AB16" s="1"/>
  <c r="X16" s="1"/>
  <c r="C22"/>
  <c r="AB22" s="1"/>
  <c r="X22" s="1"/>
  <c r="AB21"/>
  <c r="X21" s="1"/>
  <c r="C238"/>
  <c r="AB237"/>
  <c r="N237"/>
  <c r="C160"/>
  <c r="AB160" s="1"/>
  <c r="AB159"/>
  <c r="C130"/>
  <c r="AB130" s="1"/>
  <c r="AB129"/>
  <c r="C220"/>
  <c r="AB220" s="1"/>
  <c r="AB219"/>
  <c r="C166"/>
  <c r="AB166" s="1"/>
  <c r="AB165"/>
  <c r="C88"/>
  <c r="AB88" s="1"/>
  <c r="AB87"/>
  <c r="C280"/>
  <c r="AB280" s="1"/>
  <c r="AB279"/>
  <c r="C190"/>
  <c r="AB189"/>
  <c r="A192" i="2"/>
  <c r="F192" s="1"/>
  <c r="C112" i="1"/>
  <c r="AB112" s="1"/>
  <c r="AB111"/>
  <c r="C304"/>
  <c r="AB304" s="1"/>
  <c r="X304" s="1"/>
  <c r="AB303"/>
  <c r="X303" s="1"/>
  <c r="C178"/>
  <c r="AB178" s="1"/>
  <c r="AB177"/>
  <c r="C76"/>
  <c r="AB76" s="1"/>
  <c r="AB75"/>
  <c r="C268"/>
  <c r="AB268" s="1"/>
  <c r="AB267"/>
  <c r="C214"/>
  <c r="AB214" s="1"/>
  <c r="AB213"/>
  <c r="C136"/>
  <c r="AB136" s="1"/>
  <c r="AB135"/>
  <c r="C58"/>
  <c r="AB58" s="1"/>
  <c r="AB57"/>
  <c r="C250"/>
  <c r="AB250" s="1"/>
  <c r="AB249"/>
  <c r="C148"/>
  <c r="AB148" s="1"/>
  <c r="AB147"/>
  <c r="C46"/>
  <c r="AB46" s="1"/>
  <c r="AB45"/>
  <c r="AB27"/>
  <c r="X27" s="1"/>
  <c r="C28"/>
  <c r="AB28" s="1"/>
  <c r="X28" s="1"/>
  <c r="C34"/>
  <c r="AB34" s="1"/>
  <c r="X34" s="1"/>
  <c r="AB33"/>
  <c r="X33" s="1"/>
  <c r="C202"/>
  <c r="AB201"/>
  <c r="C100"/>
  <c r="AB100" s="1"/>
  <c r="AB99"/>
  <c r="C292"/>
  <c r="AB292" s="1"/>
  <c r="AB291"/>
  <c r="C239" i="2"/>
  <c r="J239"/>
  <c r="G239"/>
  <c r="K239"/>
  <c r="H239"/>
  <c r="I239"/>
  <c r="E239"/>
  <c r="B239"/>
  <c r="C64" i="1"/>
  <c r="AB64" s="1"/>
  <c r="AB63"/>
  <c r="C256"/>
  <c r="AB256" s="1"/>
  <c r="AB255"/>
  <c r="C226"/>
  <c r="AB226" s="1"/>
  <c r="AB225"/>
  <c r="C124"/>
  <c r="AB124" s="1"/>
  <c r="AB123"/>
  <c r="C70"/>
  <c r="AB70" s="1"/>
  <c r="AB69"/>
  <c r="C262"/>
  <c r="AB262" s="1"/>
  <c r="AB261"/>
  <c r="C184"/>
  <c r="AB184" s="1"/>
  <c r="AB183"/>
  <c r="C191" i="2"/>
  <c r="I191"/>
  <c r="E191"/>
  <c r="B191"/>
  <c r="J191"/>
  <c r="G191"/>
  <c r="K191"/>
  <c r="H191"/>
  <c r="C286" i="1"/>
  <c r="AB286" s="1"/>
  <c r="AB285"/>
  <c r="C208"/>
  <c r="AB208" s="1"/>
  <c r="AB207"/>
  <c r="C82"/>
  <c r="AB82" s="1"/>
  <c r="AB81"/>
  <c r="C274"/>
  <c r="AB274" s="1"/>
  <c r="AB273"/>
  <c r="C172"/>
  <c r="AB172" s="1"/>
  <c r="AB171"/>
  <c r="C118"/>
  <c r="AB118" s="1"/>
  <c r="AB117"/>
  <c r="C232"/>
  <c r="AB232" s="1"/>
  <c r="AB231"/>
  <c r="C154"/>
  <c r="AB154" s="1"/>
  <c r="AB153"/>
  <c r="C52"/>
  <c r="AB52" s="1"/>
  <c r="AB51"/>
  <c r="C244"/>
  <c r="AB244" s="1"/>
  <c r="AB243"/>
  <c r="C142"/>
  <c r="AB142" s="1"/>
  <c r="AB141"/>
  <c r="F191" i="2"/>
  <c r="AB10" i="1"/>
  <c r="X10" s="1"/>
  <c r="AB9"/>
  <c r="X9" s="1"/>
  <c r="B41"/>
  <c r="O35"/>
  <c r="G38" i="2" s="1"/>
  <c r="H198"/>
  <c r="E198"/>
  <c r="G198"/>
  <c r="J198"/>
  <c r="K198"/>
  <c r="I198"/>
  <c r="B198"/>
  <c r="H246"/>
  <c r="E246"/>
  <c r="G246"/>
  <c r="J246"/>
  <c r="K246"/>
  <c r="I246"/>
  <c r="B246"/>
  <c r="A163"/>
  <c r="C163" s="1"/>
  <c r="A162"/>
  <c r="C162" s="1"/>
  <c r="A133"/>
  <c r="C133" s="1"/>
  <c r="A132"/>
  <c r="C132" s="1"/>
  <c r="A221"/>
  <c r="C221" s="1"/>
  <c r="A175"/>
  <c r="C175" s="1"/>
  <c r="A174"/>
  <c r="C174" s="1"/>
  <c r="A156"/>
  <c r="C156" s="1"/>
  <c r="A120"/>
  <c r="C120" s="1"/>
  <c r="A65"/>
  <c r="C65" s="1"/>
  <c r="A29"/>
  <c r="C29" s="1"/>
  <c r="A85"/>
  <c r="C85" s="1"/>
  <c r="A84"/>
  <c r="C84" s="1"/>
  <c r="A115"/>
  <c r="C115" s="1"/>
  <c r="A114"/>
  <c r="C114" s="1"/>
  <c r="A109"/>
  <c r="C109" s="1"/>
  <c r="A108"/>
  <c r="C108" s="1"/>
  <c r="A144"/>
  <c r="C144" s="1"/>
  <c r="A169"/>
  <c r="C169" s="1"/>
  <c r="A168"/>
  <c r="C168" s="1"/>
  <c r="A235"/>
  <c r="C235" s="1"/>
  <c r="A234"/>
  <c r="C234" s="1"/>
  <c r="A41"/>
  <c r="C41" s="1"/>
  <c r="A77"/>
  <c r="C77" s="1"/>
  <c r="J264"/>
  <c r="K264"/>
  <c r="B264"/>
  <c r="G264"/>
  <c r="I264"/>
  <c r="E264"/>
  <c r="H264"/>
  <c r="I276"/>
  <c r="B276"/>
  <c r="G276"/>
  <c r="J276"/>
  <c r="K276"/>
  <c r="E276"/>
  <c r="H276"/>
  <c r="K281"/>
  <c r="G281"/>
  <c r="B281"/>
  <c r="E281"/>
  <c r="H281"/>
  <c r="I281"/>
  <c r="J281"/>
  <c r="G209"/>
  <c r="I209"/>
  <c r="J209"/>
  <c r="B209"/>
  <c r="E209"/>
  <c r="H209"/>
  <c r="K209"/>
  <c r="J293"/>
  <c r="K293"/>
  <c r="G293"/>
  <c r="I293"/>
  <c r="B293"/>
  <c r="E293"/>
  <c r="H293"/>
  <c r="G161"/>
  <c r="H161"/>
  <c r="I161"/>
  <c r="J161"/>
  <c r="B161"/>
  <c r="E161"/>
  <c r="F161"/>
  <c r="K161"/>
  <c r="H131"/>
  <c r="I131"/>
  <c r="J131"/>
  <c r="G131"/>
  <c r="K131"/>
  <c r="B131"/>
  <c r="E131"/>
  <c r="F131"/>
  <c r="K220"/>
  <c r="I220"/>
  <c r="B220"/>
  <c r="G220"/>
  <c r="J220"/>
  <c r="E220"/>
  <c r="F220"/>
  <c r="H220"/>
  <c r="G173"/>
  <c r="H173"/>
  <c r="I173"/>
  <c r="B173"/>
  <c r="E173"/>
  <c r="F173"/>
  <c r="J173"/>
  <c r="K173"/>
  <c r="H155"/>
  <c r="G155"/>
  <c r="I155"/>
  <c r="B155"/>
  <c r="E155"/>
  <c r="F155"/>
  <c r="J155"/>
  <c r="K155"/>
  <c r="G119"/>
  <c r="H119"/>
  <c r="B119"/>
  <c r="E119"/>
  <c r="F119"/>
  <c r="I119"/>
  <c r="J119"/>
  <c r="K119"/>
  <c r="G64"/>
  <c r="H64"/>
  <c r="I64"/>
  <c r="J64"/>
  <c r="K64"/>
  <c r="B64"/>
  <c r="E64"/>
  <c r="F64"/>
  <c r="G240"/>
  <c r="I240"/>
  <c r="J240"/>
  <c r="K240"/>
  <c r="B240"/>
  <c r="E240"/>
  <c r="F240"/>
  <c r="H240"/>
  <c r="H28"/>
  <c r="I28"/>
  <c r="J28"/>
  <c r="B28"/>
  <c r="G28"/>
  <c r="K28"/>
  <c r="E28"/>
  <c r="F28"/>
  <c r="K204"/>
  <c r="I204"/>
  <c r="B204"/>
  <c r="G204"/>
  <c r="J204"/>
  <c r="E204"/>
  <c r="F204"/>
  <c r="H204"/>
  <c r="H83"/>
  <c r="I83"/>
  <c r="J83"/>
  <c r="G83"/>
  <c r="K83"/>
  <c r="B83"/>
  <c r="E83"/>
  <c r="F83"/>
  <c r="G113"/>
  <c r="H113"/>
  <c r="I113"/>
  <c r="J113"/>
  <c r="B113"/>
  <c r="E113"/>
  <c r="F113"/>
  <c r="K113"/>
  <c r="H107"/>
  <c r="G107"/>
  <c r="I107"/>
  <c r="B107"/>
  <c r="E107"/>
  <c r="F107"/>
  <c r="J107"/>
  <c r="K107"/>
  <c r="H143"/>
  <c r="I143"/>
  <c r="G143"/>
  <c r="J143"/>
  <c r="B143"/>
  <c r="E143"/>
  <c r="F143"/>
  <c r="K143"/>
  <c r="G167"/>
  <c r="H167"/>
  <c r="B167"/>
  <c r="E167"/>
  <c r="F167"/>
  <c r="I167"/>
  <c r="J167"/>
  <c r="K167"/>
  <c r="G233"/>
  <c r="J233"/>
  <c r="B233"/>
  <c r="E233"/>
  <c r="F233"/>
  <c r="H233"/>
  <c r="K233"/>
  <c r="I233"/>
  <c r="H40"/>
  <c r="I40"/>
  <c r="B40"/>
  <c r="G40"/>
  <c r="J40"/>
  <c r="K40"/>
  <c r="E40"/>
  <c r="F40"/>
  <c r="H76"/>
  <c r="I76"/>
  <c r="J76"/>
  <c r="B76"/>
  <c r="G76"/>
  <c r="K76"/>
  <c r="E76"/>
  <c r="F76"/>
  <c r="A36"/>
  <c r="C36" s="1"/>
  <c r="A229"/>
  <c r="C229" s="1"/>
  <c r="A228"/>
  <c r="C228" s="1"/>
  <c r="A252"/>
  <c r="C252" s="1"/>
  <c r="A60"/>
  <c r="C60" s="1"/>
  <c r="A97"/>
  <c r="C97" s="1"/>
  <c r="A96"/>
  <c r="C96" s="1"/>
  <c r="A217"/>
  <c r="C217" s="1"/>
  <c r="A216"/>
  <c r="C216" s="1"/>
  <c r="A125"/>
  <c r="C125" s="1"/>
  <c r="A101"/>
  <c r="C101" s="1"/>
  <c r="A149"/>
  <c r="C149" s="1"/>
  <c r="A91"/>
  <c r="C91" s="1"/>
  <c r="A90"/>
  <c r="C90" s="1"/>
  <c r="A181"/>
  <c r="C181" s="1"/>
  <c r="A180"/>
  <c r="C180" s="1"/>
  <c r="A25"/>
  <c r="C25" s="1"/>
  <c r="A24"/>
  <c r="C24" s="1"/>
  <c r="A49"/>
  <c r="C49" s="1"/>
  <c r="A48"/>
  <c r="C48" s="1"/>
  <c r="A73"/>
  <c r="C73" s="1"/>
  <c r="A72"/>
  <c r="C72" s="1"/>
  <c r="A137"/>
  <c r="C137" s="1"/>
  <c r="A53"/>
  <c r="C53" s="1"/>
  <c r="A185"/>
  <c r="C185" s="1"/>
  <c r="I305"/>
  <c r="G305"/>
  <c r="J305"/>
  <c r="K305"/>
  <c r="B305"/>
  <c r="E305"/>
  <c r="H305"/>
  <c r="G288"/>
  <c r="I288"/>
  <c r="J288"/>
  <c r="K288"/>
  <c r="B288"/>
  <c r="E288"/>
  <c r="H288"/>
  <c r="K300"/>
  <c r="I300"/>
  <c r="B300"/>
  <c r="G300"/>
  <c r="J300"/>
  <c r="E300"/>
  <c r="H300"/>
  <c r="I257"/>
  <c r="G257"/>
  <c r="J257"/>
  <c r="K257"/>
  <c r="B257"/>
  <c r="E257"/>
  <c r="H257"/>
  <c r="G269"/>
  <c r="I269"/>
  <c r="K269"/>
  <c r="B269"/>
  <c r="E269"/>
  <c r="H269"/>
  <c r="J269"/>
  <c r="H35"/>
  <c r="I35"/>
  <c r="J35"/>
  <c r="G35"/>
  <c r="K35"/>
  <c r="B35"/>
  <c r="E35"/>
  <c r="F35"/>
  <c r="I227"/>
  <c r="J227"/>
  <c r="K227"/>
  <c r="G227"/>
  <c r="B227"/>
  <c r="E227"/>
  <c r="F227"/>
  <c r="H227"/>
  <c r="K251"/>
  <c r="G251"/>
  <c r="B251"/>
  <c r="E251"/>
  <c r="F251"/>
  <c r="H251"/>
  <c r="I251"/>
  <c r="J251"/>
  <c r="H59"/>
  <c r="G59"/>
  <c r="I59"/>
  <c r="B59"/>
  <c r="E59"/>
  <c r="F59"/>
  <c r="J59"/>
  <c r="K59"/>
  <c r="H95"/>
  <c r="I95"/>
  <c r="G95"/>
  <c r="J95"/>
  <c r="B95"/>
  <c r="E95"/>
  <c r="K95"/>
  <c r="F95"/>
  <c r="G215"/>
  <c r="J215"/>
  <c r="B215"/>
  <c r="E215"/>
  <c r="F215"/>
  <c r="H215"/>
  <c r="K215"/>
  <c r="I215"/>
  <c r="H124"/>
  <c r="I124"/>
  <c r="J124"/>
  <c r="B124"/>
  <c r="G124"/>
  <c r="K124"/>
  <c r="E124"/>
  <c r="F124"/>
  <c r="H100"/>
  <c r="B100"/>
  <c r="G100"/>
  <c r="I100"/>
  <c r="J100"/>
  <c r="K100"/>
  <c r="E100"/>
  <c r="F100"/>
  <c r="H148"/>
  <c r="B148"/>
  <c r="G148"/>
  <c r="I148"/>
  <c r="J148"/>
  <c r="K148"/>
  <c r="E148"/>
  <c r="F148"/>
  <c r="G89"/>
  <c r="H89"/>
  <c r="B89"/>
  <c r="E89"/>
  <c r="F89"/>
  <c r="I89"/>
  <c r="J89"/>
  <c r="K89"/>
  <c r="I179"/>
  <c r="J179"/>
  <c r="K179"/>
  <c r="G179"/>
  <c r="B179"/>
  <c r="E179"/>
  <c r="F179"/>
  <c r="H179"/>
  <c r="G23"/>
  <c r="H23"/>
  <c r="B23"/>
  <c r="E23"/>
  <c r="F23"/>
  <c r="I23"/>
  <c r="J23"/>
  <c r="K23"/>
  <c r="H47"/>
  <c r="I47"/>
  <c r="G47"/>
  <c r="J47"/>
  <c r="B47"/>
  <c r="E47"/>
  <c r="K47"/>
  <c r="F47"/>
  <c r="G71"/>
  <c r="H71"/>
  <c r="B71"/>
  <c r="E71"/>
  <c r="F71"/>
  <c r="I71"/>
  <c r="J71"/>
  <c r="K71"/>
  <c r="H136"/>
  <c r="I136"/>
  <c r="B136"/>
  <c r="G136"/>
  <c r="J136"/>
  <c r="K136"/>
  <c r="E136"/>
  <c r="F136"/>
  <c r="H52"/>
  <c r="B52"/>
  <c r="G52"/>
  <c r="I52"/>
  <c r="J52"/>
  <c r="K52"/>
  <c r="E52"/>
  <c r="F52"/>
  <c r="J184"/>
  <c r="K184"/>
  <c r="B184"/>
  <c r="G184"/>
  <c r="I184"/>
  <c r="E184"/>
  <c r="F184"/>
  <c r="H184"/>
  <c r="A11"/>
  <c r="C11" s="1"/>
  <c r="N8" i="1"/>
  <c r="I10" i="2"/>
  <c r="E10"/>
  <c r="B10"/>
  <c r="J10"/>
  <c r="F10"/>
  <c r="K10"/>
  <c r="G10"/>
  <c r="H10"/>
  <c r="N15" i="1"/>
  <c r="A17" i="2"/>
  <c r="C17" s="1"/>
  <c r="K16"/>
  <c r="G16"/>
  <c r="B16"/>
  <c r="J16"/>
  <c r="F16"/>
  <c r="I16"/>
  <c r="E16"/>
  <c r="H16"/>
  <c r="N190" i="1"/>
  <c r="A277" i="2"/>
  <c r="C277" s="1"/>
  <c r="N273" i="1"/>
  <c r="F276" i="2" s="1"/>
  <c r="A301"/>
  <c r="C301" s="1"/>
  <c r="N297" i="1"/>
  <c r="F300" i="2" s="1"/>
  <c r="N206" i="1"/>
  <c r="F209" i="2" s="1"/>
  <c r="A210"/>
  <c r="C210" s="1"/>
  <c r="N266" i="1"/>
  <c r="F269" i="2" s="1"/>
  <c r="A270"/>
  <c r="C270" s="1"/>
  <c r="N254" i="1"/>
  <c r="F257" i="2" s="1"/>
  <c r="A258"/>
  <c r="C258" s="1"/>
  <c r="N302" i="1"/>
  <c r="F305" i="2" s="1"/>
  <c r="A306"/>
  <c r="C306" s="1"/>
  <c r="A199"/>
  <c r="C199" s="1"/>
  <c r="N195" i="1"/>
  <c r="F198" i="2" s="1"/>
  <c r="A247"/>
  <c r="C247" s="1"/>
  <c r="N243" i="1"/>
  <c r="F246" i="2" s="1"/>
  <c r="N278" i="1"/>
  <c r="F281" i="2" s="1"/>
  <c r="A282"/>
  <c r="C282" s="1"/>
  <c r="N290" i="1"/>
  <c r="F293" i="2" s="1"/>
  <c r="A294"/>
  <c r="C294" s="1"/>
  <c r="A265"/>
  <c r="C265" s="1"/>
  <c r="N261" i="1"/>
  <c r="F264" i="2" s="1"/>
  <c r="A289"/>
  <c r="C289" s="1"/>
  <c r="N285" i="1"/>
  <c r="F288" i="2" s="1"/>
  <c r="N123" i="1"/>
  <c r="N213"/>
  <c r="N111"/>
  <c r="N57"/>
  <c r="N117"/>
  <c r="N165"/>
  <c r="N219"/>
  <c r="N81"/>
  <c r="N225"/>
  <c r="N141"/>
  <c r="N51"/>
  <c r="N75"/>
  <c r="N45"/>
  <c r="N99"/>
  <c r="N105"/>
  <c r="N93"/>
  <c r="N153"/>
  <c r="N232"/>
  <c r="N177"/>
  <c r="N183"/>
  <c r="N63"/>
  <c r="N87"/>
  <c r="N159"/>
  <c r="N135"/>
  <c r="N129"/>
  <c r="N39"/>
  <c r="N202"/>
  <c r="N147"/>
  <c r="N250"/>
  <c r="N171"/>
  <c r="N33"/>
  <c r="N21"/>
  <c r="N27"/>
  <c r="N69"/>
  <c r="A145" i="2" l="1"/>
  <c r="C145" s="1"/>
  <c r="A253"/>
  <c r="C253" s="1"/>
  <c r="A61"/>
  <c r="C61" s="1"/>
  <c r="A157"/>
  <c r="C157" s="1"/>
  <c r="A121"/>
  <c r="C121" s="1"/>
  <c r="A37"/>
  <c r="C37" s="1"/>
  <c r="AB202" i="1"/>
  <c r="A205" i="2"/>
  <c r="F205" s="1"/>
  <c r="AB238" i="1"/>
  <c r="A241" i="2"/>
  <c r="N238" i="1"/>
  <c r="C192" i="2"/>
  <c r="G192"/>
  <c r="B192"/>
  <c r="K192"/>
  <c r="J192"/>
  <c r="H192"/>
  <c r="I192"/>
  <c r="E192"/>
  <c r="AB190" i="1"/>
  <c r="A193" i="2"/>
  <c r="F193" s="1"/>
  <c r="B47" i="1"/>
  <c r="O41"/>
  <c r="G44" i="2" s="1"/>
  <c r="K265"/>
  <c r="G265"/>
  <c r="B265"/>
  <c r="E265"/>
  <c r="H265"/>
  <c r="I265"/>
  <c r="J265"/>
  <c r="G199"/>
  <c r="J199"/>
  <c r="B199"/>
  <c r="E199"/>
  <c r="H199"/>
  <c r="K199"/>
  <c r="I199"/>
  <c r="J277"/>
  <c r="K277"/>
  <c r="G277"/>
  <c r="I277"/>
  <c r="B277"/>
  <c r="E277"/>
  <c r="H277"/>
  <c r="A187"/>
  <c r="C187" s="1"/>
  <c r="A186"/>
  <c r="C186" s="1"/>
  <c r="A139"/>
  <c r="C139" s="1"/>
  <c r="A138"/>
  <c r="C138" s="1"/>
  <c r="G49"/>
  <c r="H49"/>
  <c r="I49"/>
  <c r="J49"/>
  <c r="B49"/>
  <c r="E49"/>
  <c r="K49"/>
  <c r="G181"/>
  <c r="I181"/>
  <c r="J181"/>
  <c r="K181"/>
  <c r="B181"/>
  <c r="E181"/>
  <c r="H181"/>
  <c r="A151"/>
  <c r="C151" s="1"/>
  <c r="A150"/>
  <c r="C150" s="1"/>
  <c r="A127"/>
  <c r="C127" s="1"/>
  <c r="A126"/>
  <c r="C126" s="1"/>
  <c r="G97"/>
  <c r="H97"/>
  <c r="I97"/>
  <c r="J97"/>
  <c r="B97"/>
  <c r="E97"/>
  <c r="K97"/>
  <c r="G253"/>
  <c r="H253"/>
  <c r="A43"/>
  <c r="C43" s="1"/>
  <c r="A42"/>
  <c r="C42" s="1"/>
  <c r="G169"/>
  <c r="H169"/>
  <c r="B169"/>
  <c r="E169"/>
  <c r="I169"/>
  <c r="J169"/>
  <c r="K169"/>
  <c r="G109"/>
  <c r="H109"/>
  <c r="I109"/>
  <c r="B109"/>
  <c r="E109"/>
  <c r="J109"/>
  <c r="K109"/>
  <c r="G85"/>
  <c r="H85"/>
  <c r="I85"/>
  <c r="J85"/>
  <c r="K85"/>
  <c r="B85"/>
  <c r="E85"/>
  <c r="A67"/>
  <c r="C67" s="1"/>
  <c r="A66"/>
  <c r="C66" s="1"/>
  <c r="B157"/>
  <c r="A223"/>
  <c r="C223" s="1"/>
  <c r="A222"/>
  <c r="C222" s="1"/>
  <c r="H163"/>
  <c r="I163"/>
  <c r="J163"/>
  <c r="G163"/>
  <c r="K163"/>
  <c r="B163"/>
  <c r="E163"/>
  <c r="H282"/>
  <c r="E282"/>
  <c r="G282"/>
  <c r="K282"/>
  <c r="B282"/>
  <c r="I282"/>
  <c r="J282"/>
  <c r="H258"/>
  <c r="G258"/>
  <c r="E258"/>
  <c r="I258"/>
  <c r="J258"/>
  <c r="K258"/>
  <c r="B258"/>
  <c r="H210"/>
  <c r="G210"/>
  <c r="E210"/>
  <c r="I210"/>
  <c r="J210"/>
  <c r="K210"/>
  <c r="B210"/>
  <c r="G185"/>
  <c r="J185"/>
  <c r="B185"/>
  <c r="E185"/>
  <c r="F185"/>
  <c r="H185"/>
  <c r="K185"/>
  <c r="I185"/>
  <c r="G137"/>
  <c r="H137"/>
  <c r="B137"/>
  <c r="E137"/>
  <c r="F137"/>
  <c r="I137"/>
  <c r="J137"/>
  <c r="K137"/>
  <c r="G48"/>
  <c r="H48"/>
  <c r="I48"/>
  <c r="J48"/>
  <c r="K48"/>
  <c r="B48"/>
  <c r="E48"/>
  <c r="F48"/>
  <c r="I180"/>
  <c r="B180"/>
  <c r="G180"/>
  <c r="J180"/>
  <c r="K180"/>
  <c r="E180"/>
  <c r="F180"/>
  <c r="H180"/>
  <c r="G149"/>
  <c r="H149"/>
  <c r="I149"/>
  <c r="J149"/>
  <c r="K149"/>
  <c r="B149"/>
  <c r="E149"/>
  <c r="F149"/>
  <c r="G125"/>
  <c r="H125"/>
  <c r="I125"/>
  <c r="B125"/>
  <c r="E125"/>
  <c r="F125"/>
  <c r="J125"/>
  <c r="K125"/>
  <c r="G96"/>
  <c r="H96"/>
  <c r="I96"/>
  <c r="J96"/>
  <c r="K96"/>
  <c r="B96"/>
  <c r="E96"/>
  <c r="F96"/>
  <c r="K252"/>
  <c r="I252"/>
  <c r="B252"/>
  <c r="G252"/>
  <c r="J252"/>
  <c r="E252"/>
  <c r="F252"/>
  <c r="H252"/>
  <c r="H36"/>
  <c r="B36"/>
  <c r="G36"/>
  <c r="I36"/>
  <c r="J36"/>
  <c r="K36"/>
  <c r="E36"/>
  <c r="F36"/>
  <c r="G41"/>
  <c r="H41"/>
  <c r="B41"/>
  <c r="E41"/>
  <c r="F41"/>
  <c r="I41"/>
  <c r="J41"/>
  <c r="K41"/>
  <c r="H168"/>
  <c r="I168"/>
  <c r="B168"/>
  <c r="G168"/>
  <c r="J168"/>
  <c r="K168"/>
  <c r="E168"/>
  <c r="F168"/>
  <c r="H108"/>
  <c r="I108"/>
  <c r="J108"/>
  <c r="B108"/>
  <c r="G108"/>
  <c r="K108"/>
  <c r="E108"/>
  <c r="F108"/>
  <c r="H84"/>
  <c r="B84"/>
  <c r="G84"/>
  <c r="I84"/>
  <c r="J84"/>
  <c r="K84"/>
  <c r="E84"/>
  <c r="F84"/>
  <c r="G65"/>
  <c r="H65"/>
  <c r="I65"/>
  <c r="J65"/>
  <c r="B65"/>
  <c r="E65"/>
  <c r="F65"/>
  <c r="K65"/>
  <c r="H156"/>
  <c r="I156"/>
  <c r="J156"/>
  <c r="B156"/>
  <c r="G156"/>
  <c r="K156"/>
  <c r="E156"/>
  <c r="F156"/>
  <c r="G221"/>
  <c r="K221"/>
  <c r="B221"/>
  <c r="E221"/>
  <c r="F221"/>
  <c r="H221"/>
  <c r="I221"/>
  <c r="J221"/>
  <c r="F162"/>
  <c r="G162"/>
  <c r="E162"/>
  <c r="I162"/>
  <c r="J162"/>
  <c r="K162"/>
  <c r="B162"/>
  <c r="H162"/>
  <c r="I289"/>
  <c r="G289"/>
  <c r="J289"/>
  <c r="K289"/>
  <c r="B289"/>
  <c r="E289"/>
  <c r="H289"/>
  <c r="G247"/>
  <c r="J247"/>
  <c r="B247"/>
  <c r="E247"/>
  <c r="H247"/>
  <c r="K247"/>
  <c r="I247"/>
  <c r="G301"/>
  <c r="I301"/>
  <c r="K301"/>
  <c r="B301"/>
  <c r="E301"/>
  <c r="H301"/>
  <c r="J301"/>
  <c r="A55"/>
  <c r="C55" s="1"/>
  <c r="A54"/>
  <c r="C54" s="1"/>
  <c r="G73"/>
  <c r="H73"/>
  <c r="B73"/>
  <c r="E73"/>
  <c r="I73"/>
  <c r="J73"/>
  <c r="K73"/>
  <c r="G25"/>
  <c r="H25"/>
  <c r="B25"/>
  <c r="E25"/>
  <c r="I25"/>
  <c r="J25"/>
  <c r="K25"/>
  <c r="H91"/>
  <c r="G91"/>
  <c r="I91"/>
  <c r="B91"/>
  <c r="E91"/>
  <c r="J91"/>
  <c r="K91"/>
  <c r="A103"/>
  <c r="C103" s="1"/>
  <c r="A102"/>
  <c r="C102" s="1"/>
  <c r="G217"/>
  <c r="J217"/>
  <c r="B217"/>
  <c r="E217"/>
  <c r="H217"/>
  <c r="K217"/>
  <c r="I217"/>
  <c r="B61"/>
  <c r="G229"/>
  <c r="I229"/>
  <c r="J229"/>
  <c r="K229"/>
  <c r="B229"/>
  <c r="E229"/>
  <c r="H229"/>
  <c r="A79"/>
  <c r="C79" s="1"/>
  <c r="A78"/>
  <c r="C78" s="1"/>
  <c r="K235"/>
  <c r="G235"/>
  <c r="B235"/>
  <c r="E235"/>
  <c r="F235"/>
  <c r="H235"/>
  <c r="I235"/>
  <c r="J235"/>
  <c r="H145"/>
  <c r="E145"/>
  <c r="H115"/>
  <c r="I115"/>
  <c r="J115"/>
  <c r="G115"/>
  <c r="K115"/>
  <c r="B115"/>
  <c r="E115"/>
  <c r="A31"/>
  <c r="C31" s="1"/>
  <c r="A30"/>
  <c r="C30" s="1"/>
  <c r="H121"/>
  <c r="K121"/>
  <c r="H175"/>
  <c r="I175"/>
  <c r="G175"/>
  <c r="J175"/>
  <c r="B175"/>
  <c r="E175"/>
  <c r="K175"/>
  <c r="G133"/>
  <c r="H133"/>
  <c r="I133"/>
  <c r="J133"/>
  <c r="K133"/>
  <c r="B133"/>
  <c r="E133"/>
  <c r="H294"/>
  <c r="E294"/>
  <c r="G294"/>
  <c r="J294"/>
  <c r="K294"/>
  <c r="I294"/>
  <c r="B294"/>
  <c r="H306"/>
  <c r="G306"/>
  <c r="E306"/>
  <c r="I306"/>
  <c r="J306"/>
  <c r="K306"/>
  <c r="B306"/>
  <c r="H270"/>
  <c r="G270"/>
  <c r="E270"/>
  <c r="I270"/>
  <c r="B270"/>
  <c r="J270"/>
  <c r="K270"/>
  <c r="G53"/>
  <c r="H53"/>
  <c r="I53"/>
  <c r="J53"/>
  <c r="K53"/>
  <c r="B53"/>
  <c r="E53"/>
  <c r="F53"/>
  <c r="H72"/>
  <c r="I72"/>
  <c r="B72"/>
  <c r="G72"/>
  <c r="J72"/>
  <c r="K72"/>
  <c r="E72"/>
  <c r="F72"/>
  <c r="H24"/>
  <c r="I24"/>
  <c r="B24"/>
  <c r="G24"/>
  <c r="J24"/>
  <c r="K24"/>
  <c r="E24"/>
  <c r="F24"/>
  <c r="F90"/>
  <c r="E90"/>
  <c r="G90"/>
  <c r="I90"/>
  <c r="B90"/>
  <c r="J90"/>
  <c r="K90"/>
  <c r="H90"/>
  <c r="G101"/>
  <c r="H101"/>
  <c r="I101"/>
  <c r="J101"/>
  <c r="K101"/>
  <c r="B101"/>
  <c r="E101"/>
  <c r="F101"/>
  <c r="J216"/>
  <c r="K216"/>
  <c r="B216"/>
  <c r="G216"/>
  <c r="I216"/>
  <c r="E216"/>
  <c r="F216"/>
  <c r="H216"/>
  <c r="H60"/>
  <c r="I60"/>
  <c r="J60"/>
  <c r="B60"/>
  <c r="G60"/>
  <c r="K60"/>
  <c r="E60"/>
  <c r="F60"/>
  <c r="I228"/>
  <c r="B228"/>
  <c r="G228"/>
  <c r="J228"/>
  <c r="K228"/>
  <c r="E228"/>
  <c r="F228"/>
  <c r="H228"/>
  <c r="G77"/>
  <c r="H77"/>
  <c r="I77"/>
  <c r="B77"/>
  <c r="E77"/>
  <c r="F77"/>
  <c r="J77"/>
  <c r="K77"/>
  <c r="H234"/>
  <c r="E234"/>
  <c r="F234"/>
  <c r="G234"/>
  <c r="K234"/>
  <c r="B234"/>
  <c r="I234"/>
  <c r="J234"/>
  <c r="G144"/>
  <c r="H144"/>
  <c r="I144"/>
  <c r="J144"/>
  <c r="K144"/>
  <c r="B144"/>
  <c r="E144"/>
  <c r="F144"/>
  <c r="F114"/>
  <c r="G114"/>
  <c r="E114"/>
  <c r="I114"/>
  <c r="J114"/>
  <c r="K114"/>
  <c r="B114"/>
  <c r="H114"/>
  <c r="G29"/>
  <c r="H29"/>
  <c r="I29"/>
  <c r="B29"/>
  <c r="E29"/>
  <c r="F29"/>
  <c r="J29"/>
  <c r="K29"/>
  <c r="H120"/>
  <c r="I120"/>
  <c r="B120"/>
  <c r="G120"/>
  <c r="J120"/>
  <c r="K120"/>
  <c r="E120"/>
  <c r="F120"/>
  <c r="F174"/>
  <c r="G174"/>
  <c r="E174"/>
  <c r="I174"/>
  <c r="J174"/>
  <c r="B174"/>
  <c r="K174"/>
  <c r="H174"/>
  <c r="H132"/>
  <c r="B132"/>
  <c r="G132"/>
  <c r="I132"/>
  <c r="J132"/>
  <c r="K132"/>
  <c r="E132"/>
  <c r="F132"/>
  <c r="J11"/>
  <c r="F11"/>
  <c r="K11"/>
  <c r="G11"/>
  <c r="H11"/>
  <c r="I11"/>
  <c r="E11"/>
  <c r="B11"/>
  <c r="A12"/>
  <c r="C12" s="1"/>
  <c r="N9" i="1"/>
  <c r="A19" i="2"/>
  <c r="C19" s="1"/>
  <c r="A18"/>
  <c r="C18" s="1"/>
  <c r="J17"/>
  <c r="F17"/>
  <c r="I17"/>
  <c r="E17"/>
  <c r="H17"/>
  <c r="K17"/>
  <c r="G17"/>
  <c r="B17"/>
  <c r="N262" i="1"/>
  <c r="F265" i="2" s="1"/>
  <c r="N196" i="1"/>
  <c r="F199" i="2" s="1"/>
  <c r="N255" i="1"/>
  <c r="F258" i="2" s="1"/>
  <c r="A259"/>
  <c r="C259" s="1"/>
  <c r="N267" i="1"/>
  <c r="F270" i="2" s="1"/>
  <c r="A271"/>
  <c r="C271" s="1"/>
  <c r="A211"/>
  <c r="C211" s="1"/>
  <c r="N207" i="1"/>
  <c r="F210" i="2" s="1"/>
  <c r="N298" i="1"/>
  <c r="F301" i="2" s="1"/>
  <c r="N274" i="1"/>
  <c r="F277" i="2" s="1"/>
  <c r="N286" i="1"/>
  <c r="F289" i="2" s="1"/>
  <c r="N291" i="1"/>
  <c r="F294" i="2" s="1"/>
  <c r="A295"/>
  <c r="C295" s="1"/>
  <c r="N279" i="1"/>
  <c r="F282" i="2" s="1"/>
  <c r="A283"/>
  <c r="C283" s="1"/>
  <c r="N244" i="1"/>
  <c r="F247" i="2" s="1"/>
  <c r="A307"/>
  <c r="C307" s="1"/>
  <c r="N303" i="1"/>
  <c r="F306" i="2" s="1"/>
  <c r="N172" i="1"/>
  <c r="F175" i="2" s="1"/>
  <c r="N88" i="1"/>
  <c r="F91" i="2" s="1"/>
  <c r="N70" i="1"/>
  <c r="F73" i="2" s="1"/>
  <c r="N64" i="1"/>
  <c r="N106"/>
  <c r="F109" i="2" s="1"/>
  <c r="N46" i="1"/>
  <c r="F49" i="2" s="1"/>
  <c r="N52" i="1"/>
  <c r="N142"/>
  <c r="N220"/>
  <c r="N112"/>
  <c r="F115" i="2" s="1"/>
  <c r="N124" i="1"/>
  <c r="N34"/>
  <c r="N148"/>
  <c r="N40"/>
  <c r="N160"/>
  <c r="F163" i="2" s="1"/>
  <c r="N184" i="1"/>
  <c r="N178"/>
  <c r="F181" i="2" s="1"/>
  <c r="N166" i="1"/>
  <c r="F169" i="2" s="1"/>
  <c r="N22" i="1"/>
  <c r="F25" i="2" s="1"/>
  <c r="N130" i="1"/>
  <c r="F133" i="2" s="1"/>
  <c r="N154" i="1"/>
  <c r="N100"/>
  <c r="N76"/>
  <c r="N226"/>
  <c r="F229" i="2" s="1"/>
  <c r="N118" i="1"/>
  <c r="N214"/>
  <c r="F217" i="2" s="1"/>
  <c r="N136" i="1"/>
  <c r="N94"/>
  <c r="F97" i="2" s="1"/>
  <c r="N82" i="1"/>
  <c r="F85" i="2" s="1"/>
  <c r="N58" i="1"/>
  <c r="J37" i="2" l="1"/>
  <c r="F145"/>
  <c r="B121"/>
  <c r="K145"/>
  <c r="I145"/>
  <c r="F121"/>
  <c r="I121"/>
  <c r="J145"/>
  <c r="J121"/>
  <c r="G121"/>
  <c r="B145"/>
  <c r="G145"/>
  <c r="E253"/>
  <c r="F253"/>
  <c r="J253"/>
  <c r="K253"/>
  <c r="I253"/>
  <c r="B253"/>
  <c r="F61"/>
  <c r="E61"/>
  <c r="G61"/>
  <c r="J61"/>
  <c r="H61"/>
  <c r="K61"/>
  <c r="I61"/>
  <c r="E157"/>
  <c r="G157"/>
  <c r="E121"/>
  <c r="J157"/>
  <c r="H157"/>
  <c r="F157"/>
  <c r="K157"/>
  <c r="I157"/>
  <c r="K37"/>
  <c r="G37"/>
  <c r="F37"/>
  <c r="B37"/>
  <c r="H37"/>
  <c r="E37"/>
  <c r="I37"/>
  <c r="C205"/>
  <c r="G205"/>
  <c r="H205"/>
  <c r="E205"/>
  <c r="B205"/>
  <c r="J205"/>
  <c r="K205"/>
  <c r="I205"/>
  <c r="C193"/>
  <c r="B193"/>
  <c r="J193"/>
  <c r="K193"/>
  <c r="I193"/>
  <c r="H193"/>
  <c r="G193"/>
  <c r="E193"/>
  <c r="C241"/>
  <c r="I241"/>
  <c r="F241"/>
  <c r="G241"/>
  <c r="E241"/>
  <c r="B241"/>
  <c r="K241"/>
  <c r="J241"/>
  <c r="H241"/>
  <c r="O47" i="1"/>
  <c r="G50" i="2" s="1"/>
  <c r="B53" i="1"/>
  <c r="N28"/>
  <c r="F31" i="2" s="1"/>
  <c r="I307"/>
  <c r="G307"/>
  <c r="J307"/>
  <c r="K307"/>
  <c r="B307"/>
  <c r="E307"/>
  <c r="H307"/>
  <c r="I271"/>
  <c r="G271"/>
  <c r="J271"/>
  <c r="B271"/>
  <c r="E271"/>
  <c r="K271"/>
  <c r="H271"/>
  <c r="H31"/>
  <c r="I31"/>
  <c r="G31"/>
  <c r="J31"/>
  <c r="B31"/>
  <c r="E31"/>
  <c r="K31"/>
  <c r="G103"/>
  <c r="H103"/>
  <c r="B103"/>
  <c r="E103"/>
  <c r="F103"/>
  <c r="I103"/>
  <c r="J103"/>
  <c r="K103"/>
  <c r="I223"/>
  <c r="G223"/>
  <c r="J223"/>
  <c r="B223"/>
  <c r="E223"/>
  <c r="F223"/>
  <c r="K223"/>
  <c r="H223"/>
  <c r="H43"/>
  <c r="G43"/>
  <c r="I43"/>
  <c r="B43"/>
  <c r="E43"/>
  <c r="F43"/>
  <c r="J43"/>
  <c r="K43"/>
  <c r="G151"/>
  <c r="H151"/>
  <c r="B151"/>
  <c r="E151"/>
  <c r="F151"/>
  <c r="I151"/>
  <c r="J151"/>
  <c r="K151"/>
  <c r="K187"/>
  <c r="G187"/>
  <c r="B187"/>
  <c r="E187"/>
  <c r="F187"/>
  <c r="H187"/>
  <c r="I187"/>
  <c r="J187"/>
  <c r="K283"/>
  <c r="G283"/>
  <c r="B283"/>
  <c r="E283"/>
  <c r="H283"/>
  <c r="I283"/>
  <c r="J283"/>
  <c r="I211"/>
  <c r="J211"/>
  <c r="K211"/>
  <c r="G211"/>
  <c r="B211"/>
  <c r="E211"/>
  <c r="H211"/>
  <c r="F30"/>
  <c r="G30"/>
  <c r="E30"/>
  <c r="I30"/>
  <c r="J30"/>
  <c r="B30"/>
  <c r="K30"/>
  <c r="H30"/>
  <c r="F102"/>
  <c r="E102"/>
  <c r="G102"/>
  <c r="I102"/>
  <c r="J102"/>
  <c r="K102"/>
  <c r="H102"/>
  <c r="B102"/>
  <c r="H222"/>
  <c r="G222"/>
  <c r="E222"/>
  <c r="F222"/>
  <c r="I222"/>
  <c r="B222"/>
  <c r="J222"/>
  <c r="K222"/>
  <c r="F42"/>
  <c r="E42"/>
  <c r="G42"/>
  <c r="I42"/>
  <c r="B42"/>
  <c r="J42"/>
  <c r="K42"/>
  <c r="H42"/>
  <c r="F150"/>
  <c r="E150"/>
  <c r="G150"/>
  <c r="I150"/>
  <c r="J150"/>
  <c r="K150"/>
  <c r="H150"/>
  <c r="B150"/>
  <c r="H186"/>
  <c r="E186"/>
  <c r="F186"/>
  <c r="G186"/>
  <c r="K186"/>
  <c r="B186"/>
  <c r="I186"/>
  <c r="J186"/>
  <c r="I259"/>
  <c r="J259"/>
  <c r="K259"/>
  <c r="G259"/>
  <c r="B259"/>
  <c r="E259"/>
  <c r="H259"/>
  <c r="H79"/>
  <c r="I79"/>
  <c r="G79"/>
  <c r="J79"/>
  <c r="B79"/>
  <c r="E79"/>
  <c r="K79"/>
  <c r="F79"/>
  <c r="G55"/>
  <c r="H55"/>
  <c r="B55"/>
  <c r="E55"/>
  <c r="F55"/>
  <c r="I55"/>
  <c r="J55"/>
  <c r="K55"/>
  <c r="H67"/>
  <c r="I67"/>
  <c r="J67"/>
  <c r="G67"/>
  <c r="K67"/>
  <c r="B67"/>
  <c r="E67"/>
  <c r="F67"/>
  <c r="H127"/>
  <c r="I127"/>
  <c r="G127"/>
  <c r="J127"/>
  <c r="B127"/>
  <c r="E127"/>
  <c r="F127"/>
  <c r="K127"/>
  <c r="H139"/>
  <c r="G139"/>
  <c r="I139"/>
  <c r="B139"/>
  <c r="E139"/>
  <c r="F139"/>
  <c r="J139"/>
  <c r="K139"/>
  <c r="G295"/>
  <c r="J295"/>
  <c r="B295"/>
  <c r="E295"/>
  <c r="H295"/>
  <c r="K295"/>
  <c r="I295"/>
  <c r="F78"/>
  <c r="G78"/>
  <c r="E78"/>
  <c r="I78"/>
  <c r="J78"/>
  <c r="B78"/>
  <c r="K78"/>
  <c r="H78"/>
  <c r="F54"/>
  <c r="E54"/>
  <c r="G54"/>
  <c r="I54"/>
  <c r="J54"/>
  <c r="K54"/>
  <c r="H54"/>
  <c r="B54"/>
  <c r="F66"/>
  <c r="G66"/>
  <c r="E66"/>
  <c r="I66"/>
  <c r="J66"/>
  <c r="K66"/>
  <c r="B66"/>
  <c r="H66"/>
  <c r="F126"/>
  <c r="G126"/>
  <c r="E126"/>
  <c r="I126"/>
  <c r="J126"/>
  <c r="B126"/>
  <c r="K126"/>
  <c r="H126"/>
  <c r="F138"/>
  <c r="E138"/>
  <c r="G138"/>
  <c r="I138"/>
  <c r="B138"/>
  <c r="J138"/>
  <c r="K138"/>
  <c r="H138"/>
  <c r="A13"/>
  <c r="C13" s="1"/>
  <c r="N10" i="1"/>
  <c r="K12" i="2"/>
  <c r="G12"/>
  <c r="H12"/>
  <c r="I12"/>
  <c r="E12"/>
  <c r="B12"/>
  <c r="J12"/>
  <c r="F12"/>
  <c r="H19"/>
  <c r="K19"/>
  <c r="G19"/>
  <c r="B19"/>
  <c r="J19"/>
  <c r="I19"/>
  <c r="E19"/>
  <c r="I18"/>
  <c r="E18"/>
  <c r="H18"/>
  <c r="K18"/>
  <c r="G18"/>
  <c r="B18"/>
  <c r="J18"/>
  <c r="F18"/>
  <c r="N16" i="1"/>
  <c r="F19" i="2" s="1"/>
  <c r="N268" i="1"/>
  <c r="F271" i="2" s="1"/>
  <c r="N280" i="1"/>
  <c r="F283" i="2" s="1"/>
  <c r="N208" i="1"/>
  <c r="F211" i="2" s="1"/>
  <c r="N256" i="1"/>
  <c r="F259" i="2" s="1"/>
  <c r="N304" i="1"/>
  <c r="F307" i="2" s="1"/>
  <c r="N292" i="1"/>
  <c r="F295" i="2" s="1"/>
  <c r="O53" i="1" l="1"/>
  <c r="G56" i="2" s="1"/>
  <c r="B59" i="1"/>
  <c r="H13" i="2"/>
  <c r="I13"/>
  <c r="E13"/>
  <c r="B13"/>
  <c r="J13"/>
  <c r="F13"/>
  <c r="K13"/>
  <c r="G13"/>
  <c r="B65" i="1" l="1"/>
  <c r="O59"/>
  <c r="G62" i="2" s="1"/>
  <c r="O65" i="1" l="1"/>
  <c r="G68" i="2" s="1"/>
  <c r="B71" i="1"/>
  <c r="O71" l="1"/>
  <c r="G74" i="2" s="1"/>
  <c r="B77" i="1"/>
  <c r="O77" l="1"/>
  <c r="G80" i="2" s="1"/>
  <c r="B83" i="1"/>
  <c r="B89" l="1"/>
  <c r="O83"/>
  <c r="G86" i="2" s="1"/>
  <c r="B95" i="1" l="1"/>
  <c r="O89"/>
  <c r="G92" i="2" s="1"/>
  <c r="O95" i="1" l="1"/>
  <c r="G98" i="2" s="1"/>
  <c r="B101" i="1"/>
  <c r="O101" l="1"/>
  <c r="G104" i="2" s="1"/>
  <c r="B107" i="1"/>
  <c r="B113" l="1"/>
  <c r="O107"/>
  <c r="G110" i="2" s="1"/>
  <c r="B119" i="1" l="1"/>
  <c r="O113"/>
  <c r="G116" i="2" s="1"/>
  <c r="O119" i="1" l="1"/>
  <c r="G122" i="2" s="1"/>
  <c r="B125" i="1"/>
  <c r="O125" l="1"/>
  <c r="G128" i="2" s="1"/>
  <c r="B131" i="1"/>
  <c r="B137" l="1"/>
  <c r="O131"/>
  <c r="G134" i="2" s="1"/>
  <c r="B143" i="1" l="1"/>
  <c r="O137"/>
  <c r="G140" i="2" s="1"/>
  <c r="O143" i="1" l="1"/>
  <c r="G146" i="2" s="1"/>
  <c r="B149" i="1"/>
  <c r="O149" l="1"/>
  <c r="G152" i="2" s="1"/>
  <c r="B155" i="1"/>
  <c r="B161" l="1"/>
  <c r="O155"/>
  <c r="G158" i="2" s="1"/>
  <c r="B167" i="1" l="1"/>
  <c r="O161"/>
  <c r="G164" i="2" s="1"/>
  <c r="O167" i="1" l="1"/>
  <c r="G170" i="2" s="1"/>
  <c r="B173" i="1"/>
  <c r="O173" l="1"/>
  <c r="G176" i="2" s="1"/>
  <c r="B179" i="1"/>
  <c r="B185" l="1"/>
  <c r="O179"/>
  <c r="G182" i="2" s="1"/>
  <c r="B191" i="1" l="1"/>
  <c r="O185"/>
  <c r="G188" i="2" s="1"/>
  <c r="O191" i="1" l="1"/>
  <c r="G194" i="2" s="1"/>
  <c r="B197" i="1"/>
  <c r="O197" l="1"/>
  <c r="G200" i="2" s="1"/>
  <c r="B203" i="1"/>
  <c r="B209" l="1"/>
  <c r="O203"/>
  <c r="G206" i="2" s="1"/>
  <c r="B215" i="1" l="1"/>
  <c r="O209"/>
  <c r="G212" i="2" s="1"/>
  <c r="O215" i="1" l="1"/>
  <c r="G218" i="2" s="1"/>
  <c r="B221" i="1"/>
  <c r="O221" l="1"/>
  <c r="G224" i="2" s="1"/>
  <c r="B227" i="1"/>
  <c r="B233" l="1"/>
  <c r="O227"/>
  <c r="G230" i="2" s="1"/>
  <c r="B239" i="1" l="1"/>
  <c r="O233"/>
  <c r="G236" i="2" s="1"/>
  <c r="O239" i="1" l="1"/>
  <c r="G242" i="2" s="1"/>
  <c r="B245" i="1"/>
  <c r="O245" l="1"/>
  <c r="G248" i="2" s="1"/>
  <c r="B251" i="1"/>
  <c r="B257" l="1"/>
  <c r="O251"/>
  <c r="G254" i="2" s="1"/>
  <c r="B263" i="1" l="1"/>
  <c r="O257"/>
  <c r="G260" i="2" s="1"/>
  <c r="O263" i="1" l="1"/>
  <c r="G266" i="2" s="1"/>
  <c r="B269" i="1"/>
  <c r="O269" l="1"/>
  <c r="G272" i="2" s="1"/>
  <c r="B275" i="1"/>
  <c r="B281" l="1"/>
  <c r="O275"/>
  <c r="G278" i="2" s="1"/>
  <c r="B287" i="1" l="1"/>
  <c r="O281"/>
  <c r="G284" i="2" s="1"/>
  <c r="O287" i="1" l="1"/>
  <c r="G290" i="2" s="1"/>
  <c r="B293" i="1"/>
  <c r="O293" l="1"/>
  <c r="G296" i="2" s="1"/>
  <c r="B299" i="1"/>
  <c r="O299" s="1"/>
  <c r="G302" i="2" s="1"/>
</calcChain>
</file>

<file path=xl/sharedStrings.xml><?xml version="1.0" encoding="utf-8"?>
<sst xmlns="http://schemas.openxmlformats.org/spreadsheetml/2006/main" count="364" uniqueCount="63">
  <si>
    <t>No</t>
  </si>
  <si>
    <t>Pilihan Ganda</t>
  </si>
  <si>
    <t>Jawaban Jamak</t>
  </si>
  <si>
    <t>Esai Koreksi Otomatis</t>
  </si>
  <si>
    <t>Menjodohkan</t>
  </si>
  <si>
    <t>Uraian Panjang</t>
  </si>
  <si>
    <t>M=MODULE</t>
  </si>
  <si>
    <t>module_enabled</t>
  </si>
  <si>
    <t>module_name</t>
  </si>
  <si>
    <t>S=SUBJECT</t>
  </si>
  <si>
    <t>subject_enabled</t>
  </si>
  <si>
    <t>subject_name</t>
  </si>
  <si>
    <t>subject_description</t>
  </si>
  <si>
    <t>Q=QUESTION</t>
  </si>
  <si>
    <t>question_enabled</t>
  </si>
  <si>
    <t>question_description</t>
  </si>
  <si>
    <t>question_explanation</t>
  </si>
  <si>
    <t>question_type</t>
  </si>
  <si>
    <t>question_difficulty</t>
  </si>
  <si>
    <t>question_position</t>
  </si>
  <si>
    <t>question_timer</t>
  </si>
  <si>
    <t>question_fullscreen</t>
  </si>
  <si>
    <t>question_inline_answers</t>
  </si>
  <si>
    <t>question_auto_next</t>
  </si>
  <si>
    <t>A=ANSWER</t>
  </si>
  <si>
    <t>answer_enabled</t>
  </si>
  <si>
    <t>answer_description</t>
  </si>
  <si>
    <t>answer_explanation</t>
  </si>
  <si>
    <t>answer_isright</t>
  </si>
  <si>
    <t>answer_position</t>
  </si>
  <si>
    <t>answer_keyboard_key</t>
  </si>
  <si>
    <t>M</t>
  </si>
  <si>
    <t>1</t>
  </si>
  <si>
    <t>S</t>
  </si>
  <si>
    <t>Tipe Soal</t>
  </si>
  <si>
    <t>Pertanyaan / Opsi</t>
  </si>
  <si>
    <t xml:space="preserve">Kunci </t>
  </si>
  <si>
    <t>Ans Pos</t>
  </si>
  <si>
    <t>KETERANGAN</t>
  </si>
  <si>
    <t>Qpos</t>
  </si>
  <si>
    <t>ENABLED?</t>
  </si>
  <si>
    <t>../../cache/upload/</t>
  </si>
  <si>
    <t>PATH</t>
  </si>
  <si>
    <t>MODUL</t>
  </si>
  <si>
    <t>TOPIK</t>
  </si>
  <si>
    <t>GBR ATAS</t>
  </si>
  <si>
    <t>GBR BAWAH</t>
  </si>
  <si>
    <t>TAG GBR ATAS</t>
  </si>
  <si>
    <t>TAG GBR BAWAH</t>
  </si>
  <si>
    <t>PERT / OPSI NEW</t>
  </si>
  <si>
    <t>PERINGATAN</t>
  </si>
  <si>
    <t>Type Soal</t>
  </si>
  <si>
    <t>Jml Kunci</t>
  </si>
  <si>
    <t>PEMETAAN JODOH</t>
  </si>
  <si>
    <t>AUDIO</t>
  </si>
  <si>
    <t>VIDEO</t>
  </si>
  <si>
    <t>GAMBAR ATAS (nama file gambar, kosongkan bisa tidak diperlukan), contoh: pemandangan.jpg
Klik 2x cell di bawah untuk menyisipkan gambar</t>
  </si>
  <si>
    <t>GAMBAR BAWAH (nama file gambar, kosongkan bisa tidak diperlukan), contoh: pemandangan.jpg
Klik 2x cell di bawah untuk menyisipkan gambar</t>
  </si>
  <si>
    <t>KUNCI
(centang dengan tanda v )</t>
  </si>
  <si>
    <t>Nama Mapel (wajib diisi)</t>
  </si>
  <si>
    <t>Nama Topik (wajib diisi)</t>
  </si>
  <si>
    <t>FILE VIDEO  (nama file video, kosongkan bisa tidak diperlukan), contoh: movie.mp4
Klik 2x cell di bawah untuk menyisipkan video</t>
  </si>
  <si>
    <t>FILE AUDIO (nama file audio, kosongkan bisa tidak diperlukan), contoh: voice.mp3
Klik 2x cell di bawah untuk menyisipkan audio</t>
  </si>
</sst>
</file>

<file path=xl/styles.xml><?xml version="1.0" encoding="utf-8"?>
<styleSheet xmlns="http://schemas.openxmlformats.org/spreadsheetml/2006/main">
  <fonts count="8">
    <font>
      <sz val="11"/>
      <color theme="1"/>
      <name val="Calibri"/>
      <family val="2"/>
      <scheme val="minor"/>
    </font>
    <font>
      <b/>
      <sz val="11"/>
      <color theme="0"/>
      <name val="Calibri"/>
      <family val="2"/>
      <scheme val="minor"/>
    </font>
    <font>
      <b/>
      <sz val="11"/>
      <color theme="1"/>
      <name val="Calibri"/>
      <family val="2"/>
      <scheme val="minor"/>
    </font>
    <font>
      <sz val="22"/>
      <color theme="1"/>
      <name val="Calibri"/>
      <family val="2"/>
      <scheme val="minor"/>
    </font>
    <font>
      <sz val="20"/>
      <color theme="1"/>
      <name val="Calibri"/>
      <family val="2"/>
      <scheme val="minor"/>
    </font>
    <font>
      <sz val="11"/>
      <name val="Calibri"/>
      <family val="2"/>
      <scheme val="minor"/>
    </font>
    <font>
      <b/>
      <sz val="11"/>
      <name val="Calibri"/>
      <family val="2"/>
      <scheme val="minor"/>
    </font>
    <font>
      <b/>
      <sz val="14"/>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theme="0" tint="-0.1499984740745262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s>
  <cellStyleXfs count="1">
    <xf numFmtId="0" fontId="0" fillId="0" borderId="0"/>
  </cellStyleXfs>
  <cellXfs count="73">
    <xf numFmtId="0" fontId="0" fillId="0" borderId="0" xfId="0"/>
    <xf numFmtId="49" fontId="0" fillId="0" borderId="0" xfId="0" applyNumberFormat="1"/>
    <xf numFmtId="0" fontId="0" fillId="0" borderId="0" xfId="0" applyAlignment="1">
      <alignment horizontal="center" vertical="center"/>
    </xf>
    <xf numFmtId="0" fontId="0" fillId="0" borderId="0" xfId="0" applyNumberFormat="1"/>
    <xf numFmtId="0" fontId="4" fillId="0" borderId="19" xfId="0" applyFont="1" applyBorder="1" applyAlignment="1">
      <alignment horizontal="center" vertical="center" wrapText="1"/>
    </xf>
    <xf numFmtId="0" fontId="2" fillId="4" borderId="0" xfId="0" applyFont="1" applyFill="1" applyBorder="1" applyAlignment="1">
      <alignment horizontal="center" vertical="center" wrapText="1"/>
    </xf>
    <xf numFmtId="0" fontId="4" fillId="0" borderId="0" xfId="0" applyFont="1" applyBorder="1" applyAlignment="1">
      <alignment horizontal="center" vertical="center" wrapText="1"/>
    </xf>
    <xf numFmtId="0" fontId="0" fillId="0" borderId="0" xfId="0" applyFill="1"/>
    <xf numFmtId="0" fontId="0" fillId="0" borderId="0" xfId="0" applyFill="1" applyAlignment="1">
      <alignment horizontal="center" vertical="center"/>
    </xf>
    <xf numFmtId="0" fontId="2" fillId="4" borderId="26" xfId="0" applyFont="1" applyFill="1" applyBorder="1" applyAlignment="1">
      <alignment horizontal="center" vertical="center"/>
    </xf>
    <xf numFmtId="0" fontId="2" fillId="4" borderId="27" xfId="0" applyFont="1" applyFill="1" applyBorder="1" applyAlignment="1">
      <alignment horizontal="center" vertical="center"/>
    </xf>
    <xf numFmtId="0" fontId="2" fillId="4" borderId="27"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0" fillId="0" borderId="0" xfId="0" applyBorder="1" applyAlignment="1">
      <alignment horizontal="left"/>
    </xf>
    <xf numFmtId="0" fontId="0" fillId="0" borderId="0" xfId="0" applyBorder="1"/>
    <xf numFmtId="0" fontId="6" fillId="4" borderId="0" xfId="0" applyFont="1" applyFill="1" applyBorder="1" applyAlignment="1">
      <alignment horizontal="center" vertical="center" wrapText="1"/>
    </xf>
    <xf numFmtId="0" fontId="2" fillId="4" borderId="28" xfId="0" applyFont="1" applyFill="1" applyBorder="1" applyAlignment="1">
      <alignment horizontal="center" vertical="center" wrapText="1"/>
    </xf>
    <xf numFmtId="0" fontId="2" fillId="4" borderId="25" xfId="0" applyFont="1" applyFill="1" applyBorder="1" applyAlignment="1">
      <alignment horizontal="center" vertical="center" wrapText="1"/>
    </xf>
    <xf numFmtId="0" fontId="0" fillId="0" borderId="8" xfId="0" applyFill="1" applyBorder="1" applyAlignment="1"/>
    <xf numFmtId="0" fontId="0" fillId="0" borderId="9" xfId="0" applyFill="1" applyBorder="1" applyAlignment="1"/>
    <xf numFmtId="0" fontId="5" fillId="0" borderId="0" xfId="0" applyFont="1" applyFill="1"/>
    <xf numFmtId="0" fontId="0" fillId="0" borderId="10" xfId="0" applyFill="1" applyBorder="1" applyAlignment="1"/>
    <xf numFmtId="0" fontId="0" fillId="0" borderId="11" xfId="0" applyFill="1" applyBorder="1" applyAlignment="1"/>
    <xf numFmtId="0" fontId="2" fillId="0" borderId="0" xfId="0" applyFont="1" applyFill="1" applyAlignment="1">
      <alignment horizontal="center" vertical="center" wrapText="1"/>
    </xf>
    <xf numFmtId="0" fontId="6" fillId="0" borderId="0" xfId="0" applyFont="1" applyFill="1" applyBorder="1" applyAlignment="1">
      <alignment horizontal="center" vertical="center" wrapText="1"/>
    </xf>
    <xf numFmtId="0" fontId="0" fillId="0" borderId="0" xfId="0" applyFont="1" applyFill="1" applyAlignment="1">
      <alignment horizontal="center" vertical="center"/>
    </xf>
    <xf numFmtId="0" fontId="0" fillId="0" borderId="0" xfId="0" applyFont="1" applyFill="1"/>
    <xf numFmtId="0" fontId="2" fillId="0" borderId="0" xfId="0" applyFont="1" applyAlignment="1">
      <alignment horizontal="center" vertical="center" wrapText="1"/>
    </xf>
    <xf numFmtId="0" fontId="0" fillId="0" borderId="0" xfId="0" applyAlignment="1">
      <alignment vertical="top"/>
    </xf>
    <xf numFmtId="0" fontId="0" fillId="0" borderId="0" xfId="0" applyAlignment="1">
      <alignment vertical="top" wrapText="1"/>
    </xf>
    <xf numFmtId="0" fontId="0" fillId="0" borderId="0" xfId="0" applyBorder="1" applyAlignment="1">
      <alignment horizontal="left" vertical="top"/>
    </xf>
    <xf numFmtId="0" fontId="2" fillId="0" borderId="0" xfId="0" applyFont="1" applyAlignment="1">
      <alignment horizontal="center" vertical="center"/>
    </xf>
    <xf numFmtId="0" fontId="2" fillId="4" borderId="22" xfId="0" applyFont="1" applyFill="1" applyBorder="1" applyAlignment="1">
      <alignment horizontal="center" vertical="center" wrapText="1"/>
    </xf>
    <xf numFmtId="0" fontId="1" fillId="3" borderId="1" xfId="0" applyFont="1" applyFill="1" applyBorder="1" applyAlignment="1">
      <alignment horizontal="center" vertical="top"/>
    </xf>
    <xf numFmtId="0" fontId="0" fillId="0" borderId="0" xfId="0" applyAlignment="1">
      <alignment horizontal="center" vertical="top"/>
    </xf>
    <xf numFmtId="0" fontId="0" fillId="2" borderId="15" xfId="0" applyFill="1" applyBorder="1" applyAlignment="1">
      <alignment horizontal="center" vertical="top"/>
    </xf>
    <xf numFmtId="0" fontId="1" fillId="3" borderId="6" xfId="0" applyFont="1" applyFill="1" applyBorder="1" applyAlignment="1">
      <alignment horizontal="center" vertical="top"/>
    </xf>
    <xf numFmtId="0" fontId="0" fillId="0" borderId="15" xfId="0" applyBorder="1" applyAlignment="1" applyProtection="1">
      <alignment wrapText="1"/>
      <protection locked="0"/>
    </xf>
    <xf numFmtId="0" fontId="0" fillId="0" borderId="1" xfId="0" applyBorder="1" applyAlignment="1" applyProtection="1">
      <alignment wrapText="1"/>
      <protection locked="0"/>
    </xf>
    <xf numFmtId="0" fontId="0" fillId="0" borderId="6" xfId="0" applyBorder="1" applyAlignment="1" applyProtection="1">
      <alignment wrapText="1"/>
      <protection locked="0"/>
    </xf>
    <xf numFmtId="0" fontId="0" fillId="0" borderId="3" xfId="0" applyBorder="1" applyAlignment="1" applyProtection="1">
      <alignment wrapText="1"/>
      <protection locked="0"/>
    </xf>
    <xf numFmtId="0" fontId="4" fillId="2" borderId="16" xfId="0" applyFont="1" applyFill="1" applyBorder="1" applyAlignment="1" applyProtection="1">
      <alignment horizontal="center" vertical="center" wrapText="1"/>
      <protection locked="0"/>
    </xf>
    <xf numFmtId="0" fontId="0" fillId="0" borderId="13" xfId="0"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0" fillId="0" borderId="7" xfId="0" applyFont="1" applyBorder="1" applyAlignment="1" applyProtection="1">
      <alignment horizontal="center" vertical="center" wrapText="1"/>
      <protection locked="0"/>
    </xf>
    <xf numFmtId="0" fontId="0" fillId="0" borderId="33" xfId="0" applyBorder="1" applyAlignment="1" applyProtection="1">
      <alignment wrapText="1"/>
      <protection locked="0"/>
    </xf>
    <xf numFmtId="0" fontId="0" fillId="0" borderId="16" xfId="0" applyBorder="1" applyAlignment="1" applyProtection="1">
      <alignment wrapText="1"/>
      <protection locked="0"/>
    </xf>
    <xf numFmtId="0" fontId="0" fillId="0" borderId="32" xfId="0" applyBorder="1" applyAlignment="1" applyProtection="1">
      <alignment wrapText="1"/>
      <protection locked="0"/>
    </xf>
    <xf numFmtId="0" fontId="0" fillId="0" borderId="13" xfId="0" applyBorder="1" applyAlignment="1" applyProtection="1">
      <alignment wrapText="1"/>
      <protection locked="0"/>
    </xf>
    <xf numFmtId="0" fontId="0" fillId="0" borderId="7" xfId="0" applyBorder="1" applyAlignment="1" applyProtection="1">
      <alignment wrapText="1"/>
      <protection locked="0"/>
    </xf>
    <xf numFmtId="0" fontId="0" fillId="0" borderId="18" xfId="0" applyBorder="1" applyAlignment="1" applyProtection="1">
      <alignment wrapText="1"/>
      <protection locked="0"/>
    </xf>
    <xf numFmtId="0" fontId="0" fillId="2" borderId="23" xfId="0" applyFill="1" applyBorder="1" applyAlignment="1">
      <alignment horizontal="center" vertical="top" wrapText="1"/>
    </xf>
    <xf numFmtId="0" fontId="0" fillId="2" borderId="24" xfId="0" applyFill="1" applyBorder="1" applyAlignment="1">
      <alignment horizontal="center" vertical="top" wrapText="1"/>
    </xf>
    <xf numFmtId="0" fontId="0" fillId="0" borderId="20" xfId="0" applyBorder="1" applyAlignment="1" applyProtection="1">
      <alignment horizontal="center" vertical="top"/>
      <protection locked="0"/>
    </xf>
    <xf numFmtId="0" fontId="0" fillId="0" borderId="21" xfId="0" applyBorder="1" applyAlignment="1" applyProtection="1">
      <alignment horizontal="center" vertical="top"/>
      <protection locked="0"/>
    </xf>
    <xf numFmtId="0" fontId="0" fillId="2" borderId="29" xfId="0" applyFill="1" applyBorder="1" applyAlignment="1">
      <alignment horizontal="left" vertical="top" wrapText="1" indent="1"/>
    </xf>
    <xf numFmtId="0" fontId="0" fillId="2" borderId="30" xfId="0" applyFill="1" applyBorder="1" applyAlignment="1">
      <alignment horizontal="left" vertical="top" wrapText="1" indent="1"/>
    </xf>
    <xf numFmtId="0" fontId="0" fillId="2" borderId="31" xfId="0" applyFill="1" applyBorder="1" applyAlignment="1">
      <alignment horizontal="left" vertical="top" wrapText="1" indent="1"/>
    </xf>
    <xf numFmtId="0" fontId="3" fillId="2" borderId="14" xfId="0" applyFont="1" applyFill="1" applyBorder="1" applyAlignment="1">
      <alignment horizontal="center" vertical="top"/>
    </xf>
    <xf numFmtId="0" fontId="3" fillId="2" borderId="12" xfId="0" applyFont="1" applyFill="1" applyBorder="1" applyAlignment="1">
      <alignment horizontal="center" vertical="top"/>
    </xf>
    <xf numFmtId="0" fontId="3" fillId="2" borderId="5" xfId="0" applyFont="1" applyFill="1" applyBorder="1" applyAlignment="1">
      <alignment horizontal="center" vertical="top"/>
    </xf>
    <xf numFmtId="0" fontId="0" fillId="2" borderId="2" xfId="0" applyFill="1" applyBorder="1" applyAlignment="1">
      <alignment horizontal="center"/>
    </xf>
    <xf numFmtId="0" fontId="0" fillId="2" borderId="4" xfId="0"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0" borderId="17" xfId="0" applyBorder="1" applyAlignment="1" applyProtection="1">
      <alignment horizontal="left" vertical="top"/>
      <protection locked="0"/>
    </xf>
    <xf numFmtId="0" fontId="0" fillId="0" borderId="3" xfId="0" applyBorder="1" applyAlignment="1" applyProtection="1">
      <alignment horizontal="left" vertical="top"/>
      <protection locked="0"/>
    </xf>
    <xf numFmtId="0" fontId="0" fillId="0" borderId="4" xfId="0" applyBorder="1" applyAlignment="1" applyProtection="1">
      <alignment horizontal="left" vertical="top"/>
      <protection locked="0"/>
    </xf>
    <xf numFmtId="0" fontId="0" fillId="0" borderId="18" xfId="0" applyBorder="1" applyAlignment="1" applyProtection="1">
      <alignment horizontal="left"/>
      <protection locked="0"/>
    </xf>
    <xf numFmtId="0" fontId="0" fillId="0" borderId="6" xfId="0" applyBorder="1" applyAlignment="1" applyProtection="1">
      <alignment horizontal="left"/>
      <protection locked="0"/>
    </xf>
    <xf numFmtId="0" fontId="0" fillId="0" borderId="7" xfId="0" applyBorder="1" applyAlignment="1" applyProtection="1">
      <alignment horizontal="left"/>
      <protection locked="0"/>
    </xf>
    <xf numFmtId="0" fontId="2" fillId="4" borderId="27" xfId="0" applyFont="1" applyFill="1" applyBorder="1" applyAlignment="1">
      <alignment horizontal="center" vertical="center"/>
    </xf>
  </cellXfs>
  <cellStyles count="1">
    <cellStyle name="Normal" xfId="0" builtinId="0"/>
  </cellStyles>
  <dxfs count="4">
    <dxf>
      <fill>
        <patternFill>
          <bgColor theme="9" tint="0.59996337778862885"/>
        </patternFill>
      </fill>
    </dxf>
    <dxf>
      <font>
        <condense val="0"/>
        <extend val="0"/>
        <color rgb="FF006100"/>
      </font>
      <fill>
        <patternFill>
          <bgColor rgb="FFC6EFCE"/>
        </patternFill>
      </fill>
    </dxf>
    <dxf>
      <fill>
        <patternFill>
          <bgColor theme="8" tint="0.79998168889431442"/>
        </patternFill>
      </fill>
    </dxf>
    <dxf>
      <font>
        <b/>
        <i val="0"/>
      </font>
      <fill>
        <patternFill>
          <bgColor theme="4"/>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XES430"/>
  <sheetViews>
    <sheetView tabSelected="1" zoomScale="80" zoomScaleNormal="80" workbookViewId="0">
      <selection activeCell="C10" sqref="C10"/>
    </sheetView>
  </sheetViews>
  <sheetFormatPr defaultRowHeight="26.25"/>
  <cols>
    <col min="1" max="1" width="21.7109375" customWidth="1"/>
    <col min="2" max="2" width="6.7109375" customWidth="1"/>
    <col min="3" max="3" width="14.42578125" style="34" customWidth="1"/>
    <col min="4" max="4" width="48.7109375" customWidth="1"/>
    <col min="5" max="5" width="10" style="4" customWidth="1"/>
    <col min="6" max="6" width="16.5703125" customWidth="1"/>
    <col min="7" max="7" width="20.140625" customWidth="1"/>
    <col min="8" max="8" width="32.5703125" bestFit="1" customWidth="1"/>
    <col min="9" max="9" width="33" bestFit="1" customWidth="1"/>
    <col min="10" max="10" width="28.42578125" customWidth="1"/>
    <col min="11" max="11" width="29.7109375" customWidth="1"/>
    <col min="12" max="12" width="9.5703125" customWidth="1"/>
    <col min="13" max="14" width="11" style="8" hidden="1" customWidth="1"/>
    <col min="15" max="16" width="11" style="7" hidden="1" customWidth="1"/>
    <col min="17" max="17" width="18.5703125" style="20" hidden="1" customWidth="1"/>
    <col min="18" max="21" width="11" style="20" hidden="1" customWidth="1"/>
    <col min="22" max="22" width="41.5703125" style="20" hidden="1" customWidth="1"/>
    <col min="23" max="23" width="36.85546875" style="20" hidden="1" customWidth="1"/>
    <col min="24" max="24" width="75" style="20" hidden="1" customWidth="1"/>
    <col min="25" max="25" width="8.7109375" hidden="1" customWidth="1"/>
    <col min="26" max="26" width="12.140625" hidden="1" customWidth="1"/>
    <col min="27" max="27" width="15.140625" hidden="1" customWidth="1"/>
    <col min="28" max="28" width="25.28515625" hidden="1" customWidth="1"/>
    <col min="29" max="29" width="33.85546875" hidden="1" customWidth="1"/>
    <col min="30" max="30" width="34.5703125" hidden="1" customWidth="1"/>
    <col min="38" max="38" width="20.28515625" bestFit="1" customWidth="1"/>
  </cols>
  <sheetData>
    <row r="1" spans="1:32 16369:16373" ht="15">
      <c r="A1" s="62" t="s">
        <v>59</v>
      </c>
      <c r="B1" s="63"/>
      <c r="C1" s="66"/>
      <c r="D1" s="67"/>
      <c r="E1" s="67"/>
      <c r="F1" s="67"/>
      <c r="G1" s="67"/>
      <c r="H1" s="67"/>
      <c r="I1" s="68"/>
      <c r="J1" s="30"/>
      <c r="K1" s="30"/>
      <c r="M1" s="18">
        <f>LEN(C1)</f>
        <v>0</v>
      </c>
      <c r="N1" s="19"/>
      <c r="AA1" s="13"/>
      <c r="XEO1" t="s">
        <v>1</v>
      </c>
      <c r="XEP1" t="s">
        <v>2</v>
      </c>
      <c r="XEQ1" t="s">
        <v>5</v>
      </c>
      <c r="XER1" t="s">
        <v>3</v>
      </c>
      <c r="XES1" t="s">
        <v>4</v>
      </c>
    </row>
    <row r="2" spans="1:32 16369:16373" ht="15.75" thickBot="1">
      <c r="A2" s="64" t="s">
        <v>60</v>
      </c>
      <c r="B2" s="65"/>
      <c r="C2" s="69"/>
      <c r="D2" s="70"/>
      <c r="E2" s="70"/>
      <c r="F2" s="70"/>
      <c r="G2" s="70"/>
      <c r="H2" s="70"/>
      <c r="I2" s="71"/>
      <c r="J2" s="13"/>
      <c r="K2" s="13"/>
      <c r="M2" s="21">
        <f>LEN(C2)</f>
        <v>0</v>
      </c>
      <c r="N2" s="22"/>
      <c r="AA2" s="13"/>
      <c r="AD2" s="1"/>
      <c r="AE2" s="1"/>
      <c r="AF2" s="1"/>
    </row>
    <row r="3" spans="1:32 16369:16373" ht="15.75" thickBot="1">
      <c r="E3" s="2"/>
    </row>
    <row r="4" spans="1:32 16369:16373" ht="99.75" customHeight="1" thickBot="1">
      <c r="A4" s="10" t="s">
        <v>34</v>
      </c>
      <c r="B4" s="9" t="s">
        <v>0</v>
      </c>
      <c r="C4" s="72" t="s">
        <v>35</v>
      </c>
      <c r="D4" s="72"/>
      <c r="E4" s="11" t="s">
        <v>58</v>
      </c>
      <c r="F4" s="11" t="s">
        <v>38</v>
      </c>
      <c r="G4" s="17" t="s">
        <v>50</v>
      </c>
      <c r="H4" s="16" t="s">
        <v>56</v>
      </c>
      <c r="I4" s="11" t="s">
        <v>57</v>
      </c>
      <c r="J4" s="11" t="s">
        <v>62</v>
      </c>
      <c r="K4" s="32" t="s">
        <v>61</v>
      </c>
      <c r="M4" s="12" t="s">
        <v>36</v>
      </c>
      <c r="N4" s="23" t="s">
        <v>37</v>
      </c>
      <c r="O4" s="12" t="s">
        <v>39</v>
      </c>
      <c r="P4" s="12" t="s">
        <v>40</v>
      </c>
      <c r="Q4" s="24" t="s">
        <v>42</v>
      </c>
      <c r="R4" s="24" t="s">
        <v>43</v>
      </c>
      <c r="S4" s="24" t="s">
        <v>44</v>
      </c>
      <c r="T4" s="24" t="s">
        <v>45</v>
      </c>
      <c r="U4" s="24" t="s">
        <v>46</v>
      </c>
      <c r="V4" s="24" t="s">
        <v>47</v>
      </c>
      <c r="W4" s="24" t="s">
        <v>48</v>
      </c>
      <c r="X4" s="24" t="s">
        <v>49</v>
      </c>
      <c r="Y4" s="15" t="s">
        <v>52</v>
      </c>
      <c r="Z4" s="15" t="s">
        <v>51</v>
      </c>
      <c r="AA4" s="5" t="s">
        <v>50</v>
      </c>
      <c r="AB4" s="27" t="s">
        <v>53</v>
      </c>
      <c r="AC4" s="31" t="s">
        <v>54</v>
      </c>
      <c r="AD4" s="31" t="s">
        <v>55</v>
      </c>
    </row>
    <row r="5" spans="1:32 16369:16373" ht="15.75" customHeight="1">
      <c r="A5" s="54"/>
      <c r="B5" s="59" t="str">
        <f>IF(LEN(A5)&lt;1,"",1)</f>
        <v/>
      </c>
      <c r="C5" s="35" t="str">
        <f>IF(ISBLANK(A5),"",IF(A5="Uraian Panjang","Teks Uraian","Teks Soal"))</f>
        <v/>
      </c>
      <c r="D5" s="37"/>
      <c r="E5" s="41"/>
      <c r="F5" s="52" t="str">
        <f>IF(ISBLANK(A5),"",IF(A5="Pilihan Ganda","Centang salah satu jawaban disamping pada kolom KUNCI",IF(A5="Jawaban Jamak","Centang beberapa jawaban disamping pada kolom KUNCI",IF(A5="Uraian Panjang","Pastikan tidak ada jawaban yang tercentang pada kolom KUNCI",IF(A5="Esai Koreksi Otomatis","Kunci jawaban adalah teks opsi dan centang opsi tersebut pada kolom KUNCI","ISIKAN JODOHNYA PADA KOLOM KUNCI")))))</f>
        <v/>
      </c>
      <c r="G5" s="56" t="str">
        <f>IF(LEN(A5)&lt;1,"",IF(AA5=FALSE,"Ada kesalahan, mohon perhatikan kolom KETERANGAN",""))</f>
        <v/>
      </c>
      <c r="H5" s="37"/>
      <c r="I5" s="37"/>
      <c r="J5" s="46"/>
      <c r="K5" s="47"/>
      <c r="M5" s="25">
        <f>IF(AND(ISBLANK(A5),ISBLANK(E5)),0,IF(ISBLANK(E5),IF(A5="Pilihan Ganda","S",IF(A5="Jawaban Jamak","M",IF(A5="Uraian Panjang","T",IF(A5="Esai Koreksi Otomatis","T","O")))),IF(E5="v",1,0)))</f>
        <v>0</v>
      </c>
      <c r="N5" s="25" t="str">
        <f t="shared" ref="N5:N11" si="0">IF(LEN(C5)&gt;1,1,IF(C5="A",1,IF(C5="B",2,IF(C5="C",3,IF(C5="D",4,IF(C5="E",5,""))))))</f>
        <v/>
      </c>
      <c r="O5" s="26" t="str">
        <f>IF(ISBLANK(B5),"",B5)</f>
        <v/>
      </c>
      <c r="P5" s="26">
        <f>IF(ISBLANK(D5),0,1)</f>
        <v>0</v>
      </c>
      <c r="Q5" s="20" t="s">
        <v>41</v>
      </c>
      <c r="R5" s="20">
        <f t="shared" ref="R5:R68" si="1">C$1</f>
        <v>0</v>
      </c>
      <c r="S5" s="20">
        <f t="shared" ref="S5:S68" si="2">C$2</f>
        <v>0</v>
      </c>
      <c r="T5" s="20">
        <f>H5</f>
        <v>0</v>
      </c>
      <c r="U5" s="20">
        <f>I5</f>
        <v>0</v>
      </c>
      <c r="V5" s="20" t="str">
        <f>IF(ISBLANK(H5),"",CONCATENATE("&lt;img src='",Q5,R5,"/",S5,"/",T5,"'&gt;&lt;br/&gt;"))</f>
        <v/>
      </c>
      <c r="W5" s="20" t="str">
        <f t="shared" ref="W5:W68" si="3">IF(ISBLANK(I5),"",CONCATENATE("&lt;br/&gt;&lt;img src='",Q5,R5,"/",S5,"/",U5,"'&gt;"))</f>
        <v/>
      </c>
      <c r="X5" s="20" t="str">
        <f>CONCATENATE(V5,SUBSTITUTE(D5,CHAR(34),"&amp;quot;"),AB5,W5,AC5,AD5)</f>
        <v/>
      </c>
      <c r="Y5">
        <f>COUNTIF(E5:E10,"v")</f>
        <v>0</v>
      </c>
      <c r="Z5">
        <f>M5</f>
        <v>0</v>
      </c>
      <c r="AA5" s="14" t="b">
        <f t="shared" ref="AA5:AA68" si="4">IF(A5="Pilihan Ganda",
 AND(A5="Pilihan Ganda",Y5=1),
 IF(A5="Jawaban Jamak",
  AND(A5="Jawaban Jamak",Y5&gt;1),
  IF(A5="Menjodohkan",
   AND(A5="Menjodohkan",Y5=0),
   IF(A5="Uraian Panjang",
    AND(A5="Uraian Panjang",Y5=0),
    IF(A5="Esai Koreksi Otomatis",
     AND(A5="Esai Koreksi Otomatis",Y5&gt;0)
    )
   )
  )
 )
)</f>
        <v>0</v>
      </c>
      <c r="AB5" s="28" t="str">
        <f>IF(LEN(C5)&gt;1,IF(A5="Menjodohkan",CONCATENATE("&lt;div id='tmfmatchsub' style='background:#bbdefb; border:1px solid #2196f3; padding:5px 10px'&gt;
&lt;ol&gt;","&lt;li&gt;",E6,"&lt;/li&gt;","&lt;li&gt;",E7,"&lt;/li&gt;","&lt;li&gt;",E8,"&lt;/li&gt;","&lt;li&gt;",E9,"&lt;/li&gt;","&lt;li&gt;",E10,"&lt;/li&gt;&lt;/ol&gt;&lt;/div&gt;"),"&amp;nbsp;"),"")</f>
        <v/>
      </c>
      <c r="AC5" s="20" t="str">
        <f>IF(ISBLANK(J5),"",CONCATENATE("&lt;br/&gt;&lt;audio controls&gt;&lt;source src='",Q5,R5,"/",S5,"/",J5,"'&gt;Your browser does not support the audio element.&lt;/audio&gt;"))</f>
        <v/>
      </c>
      <c r="AD5" s="20" t="str">
        <f>IF(ISBLANK(K5),"",CONCATENATE("&lt;br/&gt;&lt;video controls&gt;&lt;source src='",Q5,R5,"/",S5,"/",K5,"'&gt;Your browser does not support the video element.&lt;/video&gt;"))</f>
        <v/>
      </c>
    </row>
    <row r="6" spans="1:32 16369:16373" ht="15" customHeight="1">
      <c r="A6" s="54"/>
      <c r="B6" s="60"/>
      <c r="C6" s="33" t="str">
        <f>IF(C5="Teks Uraian","",IF(OR(LEN(C5)&lt;1,LEN(D6)&lt;1),"","A"))</f>
        <v/>
      </c>
      <c r="D6" s="38"/>
      <c r="E6" s="42"/>
      <c r="F6" s="52"/>
      <c r="G6" s="57"/>
      <c r="H6" s="38"/>
      <c r="I6" s="38"/>
      <c r="J6" s="48"/>
      <c r="K6" s="49"/>
      <c r="M6" s="25">
        <f t="shared" ref="M6:M69" si="5">IF(AND(ISBLANK(A6),ISBLANK(E6)),0,IF(ISBLANK(E6),IF(A6="Pilihan Ganda","S",IF(A6="Jawaban Jamak","M",IF(A6="Uraian Panjang","T",IF(A6="Esai Koreksi Otomatis","T","O")))),IF(E6="v",1,0)))</f>
        <v>0</v>
      </c>
      <c r="N6" s="25" t="str">
        <f t="shared" si="0"/>
        <v/>
      </c>
      <c r="O6" s="26" t="str">
        <f t="shared" ref="O6:O69" si="6">IF(ISBLANK(B6),"",B6)</f>
        <v/>
      </c>
      <c r="P6" s="26">
        <f t="shared" ref="P6:P69" si="7">IF(ISBLANK(D6),0,1)</f>
        <v>0</v>
      </c>
      <c r="Q6" s="20" t="s">
        <v>41</v>
      </c>
      <c r="R6" s="20">
        <f t="shared" si="1"/>
        <v>0</v>
      </c>
      <c r="S6" s="20">
        <f t="shared" si="2"/>
        <v>0</v>
      </c>
      <c r="T6" s="20">
        <f t="shared" ref="T6:T69" si="8">H6</f>
        <v>0</v>
      </c>
      <c r="U6" s="20">
        <f t="shared" ref="U6:U69" si="9">I6</f>
        <v>0</v>
      </c>
      <c r="V6" s="20" t="str">
        <f t="shared" ref="V6:V68" si="10">IF(ISBLANK(H6),"",CONCATENATE("&lt;img src='",Q6,R6,"/",S6,"/",T6,"'&gt;&lt;br/&gt;"))</f>
        <v/>
      </c>
      <c r="W6" s="20" t="str">
        <f t="shared" si="3"/>
        <v/>
      </c>
      <c r="X6" s="20" t="str">
        <f t="shared" ref="X6:X69" si="11">CONCATENATE(V6,SUBSTITUTE(D6,CHAR(34),"&amp;quot;"),AB6,W6,AC6,AD6)</f>
        <v/>
      </c>
      <c r="Y6">
        <f t="shared" ref="Y6:Y69" si="12">COUNTIF(E6:E11,"v")</f>
        <v>0</v>
      </c>
      <c r="Z6">
        <f t="shared" ref="Z6:Z69" si="13">M6</f>
        <v>0</v>
      </c>
      <c r="AA6" s="14" t="b">
        <f t="shared" si="4"/>
        <v>0</v>
      </c>
      <c r="AB6" s="28" t="str">
        <f t="shared" ref="AB6:AB69" si="14">IF(LEN(C6)&gt;1,IF(A6="Menjodohkan",CONCATENATE("&lt;div id='tmfmatchsub' style='background:#bbdefb; border:1px solid #2196f3; padding:5px 10px'&gt;
&lt;ol&gt;","&lt;li&gt;",E7,"&lt;/li&gt;","&lt;li&gt;",E8,"&lt;/li&gt;","&lt;li&gt;",E9,"&lt;/li&gt;","&lt;li&gt;",E10,"&lt;/li&gt;","&lt;li&gt;",E11,"&lt;/li&gt;&lt;/ol&gt;&lt;/div&gt;"),"&amp;nbsp;"),"")</f>
        <v/>
      </c>
      <c r="AC6" s="20" t="str">
        <f t="shared" ref="AC6:AC69" si="15">IF(ISBLANK(J6),"",CONCATENATE("&lt;br/&gt;&lt;audio controls&gt;&lt;source src='",Q6,R6,"/",S6,"/",J6,"'&gt;Your browser does not support the audio element.&lt;/audio&gt;"))</f>
        <v/>
      </c>
      <c r="AD6" s="20" t="str">
        <f t="shared" ref="AD6:AD69" si="16">IF(ISBLANK(K6),"",CONCATENATE("&lt;br/&gt;&lt;video controls&gt;&lt;source src='",Q6,R6,"/",S6,"/",K6,"'&gt;Your browser does not support the video element.&lt;/video&gt;"))</f>
        <v/>
      </c>
    </row>
    <row r="7" spans="1:32 16369:16373" ht="15" customHeight="1">
      <c r="A7" s="54"/>
      <c r="B7" s="60"/>
      <c r="C7" s="33" t="str">
        <f>IF(OR(LEN(C6)&lt;1,LEN(D6)&lt;1),"","B")</f>
        <v/>
      </c>
      <c r="D7" s="38"/>
      <c r="E7" s="42"/>
      <c r="F7" s="52"/>
      <c r="G7" s="57"/>
      <c r="H7" s="38"/>
      <c r="I7" s="38"/>
      <c r="J7" s="48"/>
      <c r="K7" s="49"/>
      <c r="M7" s="25">
        <f t="shared" si="5"/>
        <v>0</v>
      </c>
      <c r="N7" s="25" t="str">
        <f t="shared" si="0"/>
        <v/>
      </c>
      <c r="O7" s="26" t="str">
        <f t="shared" si="6"/>
        <v/>
      </c>
      <c r="P7" s="26">
        <f t="shared" si="7"/>
        <v>0</v>
      </c>
      <c r="Q7" s="20" t="s">
        <v>41</v>
      </c>
      <c r="R7" s="20">
        <f t="shared" si="1"/>
        <v>0</v>
      </c>
      <c r="S7" s="20">
        <f t="shared" si="2"/>
        <v>0</v>
      </c>
      <c r="T7" s="20">
        <f t="shared" si="8"/>
        <v>0</v>
      </c>
      <c r="U7" s="20">
        <f t="shared" si="9"/>
        <v>0</v>
      </c>
      <c r="V7" s="20" t="str">
        <f t="shared" si="10"/>
        <v/>
      </c>
      <c r="W7" s="20" t="str">
        <f t="shared" si="3"/>
        <v/>
      </c>
      <c r="X7" s="20" t="str">
        <f t="shared" si="11"/>
        <v/>
      </c>
      <c r="Y7">
        <f t="shared" si="12"/>
        <v>0</v>
      </c>
      <c r="Z7">
        <f t="shared" si="13"/>
        <v>0</v>
      </c>
      <c r="AA7" s="14" t="b">
        <f t="shared" si="4"/>
        <v>0</v>
      </c>
      <c r="AB7" s="28" t="str">
        <f t="shared" si="14"/>
        <v/>
      </c>
      <c r="AC7" s="20" t="str">
        <f t="shared" si="15"/>
        <v/>
      </c>
      <c r="AD7" s="20" t="str">
        <f t="shared" si="16"/>
        <v/>
      </c>
    </row>
    <row r="8" spans="1:32 16369:16373" ht="15" customHeight="1">
      <c r="A8" s="54"/>
      <c r="B8" s="60"/>
      <c r="C8" s="33" t="str">
        <f>IF(OR(LEN(C7)&lt;1,LEN(D8)&lt;1),"","C")</f>
        <v/>
      </c>
      <c r="D8" s="38"/>
      <c r="E8" s="42"/>
      <c r="F8" s="52"/>
      <c r="G8" s="57"/>
      <c r="H8" s="38"/>
      <c r="I8" s="38"/>
      <c r="J8" s="48"/>
      <c r="K8" s="49"/>
      <c r="M8" s="25">
        <f t="shared" si="5"/>
        <v>0</v>
      </c>
      <c r="N8" s="25" t="str">
        <f t="shared" si="0"/>
        <v/>
      </c>
      <c r="O8" s="26" t="str">
        <f t="shared" si="6"/>
        <v/>
      </c>
      <c r="P8" s="26">
        <f t="shared" si="7"/>
        <v>0</v>
      </c>
      <c r="Q8" s="20" t="s">
        <v>41</v>
      </c>
      <c r="R8" s="20">
        <f t="shared" si="1"/>
        <v>0</v>
      </c>
      <c r="S8" s="20">
        <f t="shared" si="2"/>
        <v>0</v>
      </c>
      <c r="T8" s="20">
        <f t="shared" si="8"/>
        <v>0</v>
      </c>
      <c r="U8" s="20">
        <f t="shared" si="9"/>
        <v>0</v>
      </c>
      <c r="V8" s="20" t="str">
        <f t="shared" si="10"/>
        <v/>
      </c>
      <c r="W8" s="20" t="str">
        <f t="shared" si="3"/>
        <v/>
      </c>
      <c r="X8" s="20" t="str">
        <f t="shared" si="11"/>
        <v/>
      </c>
      <c r="Y8">
        <f t="shared" si="12"/>
        <v>0</v>
      </c>
      <c r="Z8">
        <f t="shared" si="13"/>
        <v>0</v>
      </c>
      <c r="AA8" s="14" t="b">
        <f t="shared" si="4"/>
        <v>0</v>
      </c>
      <c r="AB8" s="28" t="str">
        <f t="shared" si="14"/>
        <v/>
      </c>
      <c r="AC8" s="20" t="str">
        <f t="shared" si="15"/>
        <v/>
      </c>
      <c r="AD8" s="20" t="str">
        <f t="shared" si="16"/>
        <v/>
      </c>
    </row>
    <row r="9" spans="1:32 16369:16373" ht="15" customHeight="1">
      <c r="A9" s="54"/>
      <c r="B9" s="60"/>
      <c r="C9" s="33" t="str">
        <f>IF(OR(LEN(C8)&lt;1,LEN(D9)&lt;1),"","D")</f>
        <v/>
      </c>
      <c r="D9" s="38"/>
      <c r="E9" s="42"/>
      <c r="F9" s="52"/>
      <c r="G9" s="57"/>
      <c r="H9" s="38"/>
      <c r="I9" s="38"/>
      <c r="J9" s="48"/>
      <c r="K9" s="49"/>
      <c r="M9" s="25">
        <f t="shared" si="5"/>
        <v>0</v>
      </c>
      <c r="N9" s="25" t="str">
        <f t="shared" si="0"/>
        <v/>
      </c>
      <c r="O9" s="26" t="str">
        <f t="shared" si="6"/>
        <v/>
      </c>
      <c r="P9" s="26">
        <f t="shared" si="7"/>
        <v>0</v>
      </c>
      <c r="Q9" s="20" t="s">
        <v>41</v>
      </c>
      <c r="R9" s="20">
        <f t="shared" si="1"/>
        <v>0</v>
      </c>
      <c r="S9" s="20">
        <f t="shared" si="2"/>
        <v>0</v>
      </c>
      <c r="T9" s="20">
        <f t="shared" si="8"/>
        <v>0</v>
      </c>
      <c r="U9" s="20">
        <f t="shared" si="9"/>
        <v>0</v>
      </c>
      <c r="V9" s="20" t="str">
        <f t="shared" si="10"/>
        <v/>
      </c>
      <c r="W9" s="20" t="str">
        <f t="shared" si="3"/>
        <v/>
      </c>
      <c r="X9" s="20" t="str">
        <f t="shared" si="11"/>
        <v/>
      </c>
      <c r="Y9">
        <f t="shared" si="12"/>
        <v>0</v>
      </c>
      <c r="Z9">
        <f t="shared" si="13"/>
        <v>0</v>
      </c>
      <c r="AA9" s="14" t="b">
        <f t="shared" si="4"/>
        <v>0</v>
      </c>
      <c r="AB9" s="28" t="str">
        <f t="shared" si="14"/>
        <v/>
      </c>
      <c r="AC9" s="20" t="str">
        <f t="shared" si="15"/>
        <v/>
      </c>
      <c r="AD9" s="20" t="str">
        <f t="shared" si="16"/>
        <v/>
      </c>
    </row>
    <row r="10" spans="1:32 16369:16373" ht="15.75" customHeight="1" thickBot="1">
      <c r="A10" s="55"/>
      <c r="B10" s="61"/>
      <c r="C10" s="36" t="str">
        <f>IF(OR(LEN(C9)&lt;1,LEN(D10)&lt;1),"","E")</f>
        <v/>
      </c>
      <c r="D10" s="39"/>
      <c r="E10" s="43"/>
      <c r="F10" s="53"/>
      <c r="G10" s="58"/>
      <c r="H10" s="39"/>
      <c r="I10" s="39"/>
      <c r="J10" s="39"/>
      <c r="K10" s="50"/>
      <c r="M10" s="25">
        <f t="shared" si="5"/>
        <v>0</v>
      </c>
      <c r="N10" s="25" t="str">
        <f t="shared" si="0"/>
        <v/>
      </c>
      <c r="O10" s="26" t="str">
        <f t="shared" si="6"/>
        <v/>
      </c>
      <c r="P10" s="26">
        <f t="shared" si="7"/>
        <v>0</v>
      </c>
      <c r="Q10" s="20" t="s">
        <v>41</v>
      </c>
      <c r="R10" s="20">
        <f t="shared" si="1"/>
        <v>0</v>
      </c>
      <c r="S10" s="20">
        <f t="shared" si="2"/>
        <v>0</v>
      </c>
      <c r="T10" s="20">
        <f t="shared" si="8"/>
        <v>0</v>
      </c>
      <c r="U10" s="20">
        <f t="shared" si="9"/>
        <v>0</v>
      </c>
      <c r="V10" s="20" t="str">
        <f t="shared" si="10"/>
        <v/>
      </c>
      <c r="W10" s="20" t="str">
        <f t="shared" si="3"/>
        <v/>
      </c>
      <c r="X10" s="20" t="str">
        <f t="shared" si="11"/>
        <v/>
      </c>
      <c r="Y10">
        <f t="shared" si="12"/>
        <v>0</v>
      </c>
      <c r="Z10">
        <f t="shared" si="13"/>
        <v>0</v>
      </c>
      <c r="AA10" s="14" t="b">
        <f t="shared" si="4"/>
        <v>0</v>
      </c>
      <c r="AB10" s="28" t="str">
        <f t="shared" si="14"/>
        <v/>
      </c>
      <c r="AC10" s="20" t="str">
        <f t="shared" si="15"/>
        <v/>
      </c>
      <c r="AD10" s="20" t="str">
        <f t="shared" si="16"/>
        <v/>
      </c>
    </row>
    <row r="11" spans="1:32 16369:16373" ht="15" customHeight="1">
      <c r="A11" s="54"/>
      <c r="B11" s="59" t="str">
        <f>IF(LEN(A11)&lt;1,"",IF(ISBLANK(B5),"",B5+1))</f>
        <v/>
      </c>
      <c r="C11" s="35" t="str">
        <f t="shared" ref="C11" si="17">IF(ISBLANK(A11),"",IF(A11="Uraian Panjang","Teks Uraian","Teks Soal"))</f>
        <v/>
      </c>
      <c r="D11" s="37"/>
      <c r="E11" s="41"/>
      <c r="F11" s="52" t="str">
        <f t="shared" ref="F11" si="18">IF(ISBLANK(A11),"",IF(A11="Pilihan Ganda","Centang salah satu jawaban disamping pada kolom KUNCI",IF(A11="Jawaban Jamak","Centang beberapa jawaban disamping pada kolom KUNCI",IF(A11="Uraian Panjang","Pastikan tidak ada jawaban yang tercentang pada kolom KUNCI",IF(A11="Esai Koreksi Otomatis","Kunci jawaban adalah teks opsi dan centang opsi tersebut pada kolom KUNCI","ISIKAN JODOHNYA PADA KOLOM KUNCI")))))</f>
        <v/>
      </c>
      <c r="G11" s="56" t="str">
        <f>IF(LEN(A11)&lt;1,"",IF(AA11=FALSE,"Ada kesalahan, mohon perhatikan kolom KETERANGAN",""))</f>
        <v/>
      </c>
      <c r="H11" s="37"/>
      <c r="I11" s="37"/>
      <c r="J11" s="46"/>
      <c r="K11" s="47"/>
      <c r="M11" s="25">
        <f t="shared" si="5"/>
        <v>0</v>
      </c>
      <c r="N11" s="25" t="str">
        <f t="shared" si="0"/>
        <v/>
      </c>
      <c r="O11" s="26" t="str">
        <f t="shared" si="6"/>
        <v/>
      </c>
      <c r="P11" s="26">
        <f t="shared" si="7"/>
        <v>0</v>
      </c>
      <c r="Q11" s="20" t="s">
        <v>41</v>
      </c>
      <c r="R11" s="20">
        <f t="shared" si="1"/>
        <v>0</v>
      </c>
      <c r="S11" s="20">
        <f t="shared" si="2"/>
        <v>0</v>
      </c>
      <c r="T11" s="20">
        <f t="shared" si="8"/>
        <v>0</v>
      </c>
      <c r="U11" s="20">
        <f t="shared" si="9"/>
        <v>0</v>
      </c>
      <c r="V11" s="20" t="str">
        <f t="shared" si="10"/>
        <v/>
      </c>
      <c r="W11" s="20" t="str">
        <f t="shared" si="3"/>
        <v/>
      </c>
      <c r="X11" s="20" t="str">
        <f t="shared" si="11"/>
        <v/>
      </c>
      <c r="Y11">
        <f t="shared" si="12"/>
        <v>0</v>
      </c>
      <c r="Z11">
        <f t="shared" si="13"/>
        <v>0</v>
      </c>
      <c r="AA11" s="14" t="b">
        <f t="shared" si="4"/>
        <v>0</v>
      </c>
      <c r="AB11" s="28" t="str">
        <f t="shared" si="14"/>
        <v/>
      </c>
      <c r="AC11" s="20" t="str">
        <f t="shared" si="15"/>
        <v/>
      </c>
      <c r="AD11" s="20" t="str">
        <f t="shared" si="16"/>
        <v/>
      </c>
    </row>
    <row r="12" spans="1:32 16369:16373" ht="15" customHeight="1">
      <c r="A12" s="54"/>
      <c r="B12" s="60"/>
      <c r="C12" s="33" t="str">
        <f t="shared" ref="C12" si="19">IF(C11="Teks Uraian","",IF(OR(LEN(C11)&lt;1,LEN(D12)&lt;1),"","A"))</f>
        <v/>
      </c>
      <c r="D12" s="38"/>
      <c r="E12" s="44"/>
      <c r="F12" s="52"/>
      <c r="G12" s="57"/>
      <c r="H12" s="38"/>
      <c r="I12" s="38"/>
      <c r="J12" s="48"/>
      <c r="K12" s="49"/>
      <c r="M12" s="25">
        <f t="shared" si="5"/>
        <v>0</v>
      </c>
      <c r="N12" s="25" t="str">
        <f t="shared" ref="N12:N75" si="20">IF(LEN(C12)&gt;1,1,IF(C12="A",1,IF(C12="B",2,IF(C12="C",3,IF(C12="D",4,IF(C12="E",5,""))))))</f>
        <v/>
      </c>
      <c r="O12" s="26" t="str">
        <f t="shared" si="6"/>
        <v/>
      </c>
      <c r="P12" s="26">
        <f t="shared" si="7"/>
        <v>0</v>
      </c>
      <c r="Q12" s="20" t="s">
        <v>41</v>
      </c>
      <c r="R12" s="20">
        <f t="shared" si="1"/>
        <v>0</v>
      </c>
      <c r="S12" s="20">
        <f t="shared" si="2"/>
        <v>0</v>
      </c>
      <c r="T12" s="20">
        <f t="shared" si="8"/>
        <v>0</v>
      </c>
      <c r="U12" s="20">
        <f t="shared" si="9"/>
        <v>0</v>
      </c>
      <c r="V12" s="20" t="str">
        <f t="shared" si="10"/>
        <v/>
      </c>
      <c r="W12" s="20" t="str">
        <f t="shared" si="3"/>
        <v/>
      </c>
      <c r="X12" s="20" t="str">
        <f t="shared" si="11"/>
        <v/>
      </c>
      <c r="Y12">
        <f t="shared" si="12"/>
        <v>0</v>
      </c>
      <c r="Z12">
        <f t="shared" si="13"/>
        <v>0</v>
      </c>
      <c r="AA12" s="14" t="b">
        <f t="shared" si="4"/>
        <v>0</v>
      </c>
      <c r="AB12" s="28" t="str">
        <f t="shared" si="14"/>
        <v/>
      </c>
      <c r="AC12" s="20" t="str">
        <f t="shared" si="15"/>
        <v/>
      </c>
      <c r="AD12" s="20" t="str">
        <f t="shared" si="16"/>
        <v/>
      </c>
    </row>
    <row r="13" spans="1:32 16369:16373" ht="15" customHeight="1">
      <c r="A13" s="54"/>
      <c r="B13" s="60"/>
      <c r="C13" s="33" t="str">
        <f t="shared" ref="C13" si="21">IF(OR(LEN(C12)&lt;1,LEN(D12)&lt;1),"","B")</f>
        <v/>
      </c>
      <c r="D13" s="38"/>
      <c r="E13" s="42"/>
      <c r="F13" s="52"/>
      <c r="G13" s="57"/>
      <c r="H13" s="38"/>
      <c r="I13" s="38"/>
      <c r="J13" s="48"/>
      <c r="K13" s="49"/>
      <c r="M13" s="25">
        <f t="shared" si="5"/>
        <v>0</v>
      </c>
      <c r="N13" s="25" t="str">
        <f t="shared" si="20"/>
        <v/>
      </c>
      <c r="O13" s="26" t="str">
        <f t="shared" si="6"/>
        <v/>
      </c>
      <c r="P13" s="26">
        <f t="shared" si="7"/>
        <v>0</v>
      </c>
      <c r="Q13" s="20" t="s">
        <v>41</v>
      </c>
      <c r="R13" s="20">
        <f t="shared" si="1"/>
        <v>0</v>
      </c>
      <c r="S13" s="20">
        <f t="shared" si="2"/>
        <v>0</v>
      </c>
      <c r="T13" s="20">
        <f t="shared" si="8"/>
        <v>0</v>
      </c>
      <c r="U13" s="20">
        <f t="shared" si="9"/>
        <v>0</v>
      </c>
      <c r="V13" s="20" t="str">
        <f t="shared" si="10"/>
        <v/>
      </c>
      <c r="W13" s="20" t="str">
        <f t="shared" si="3"/>
        <v/>
      </c>
      <c r="X13" s="20" t="str">
        <f t="shared" si="11"/>
        <v/>
      </c>
      <c r="Y13">
        <f t="shared" si="12"/>
        <v>0</v>
      </c>
      <c r="Z13">
        <f t="shared" si="13"/>
        <v>0</v>
      </c>
      <c r="AA13" s="14" t="b">
        <f t="shared" si="4"/>
        <v>0</v>
      </c>
      <c r="AB13" s="28" t="str">
        <f t="shared" si="14"/>
        <v/>
      </c>
      <c r="AC13" s="20" t="str">
        <f t="shared" si="15"/>
        <v/>
      </c>
      <c r="AD13" s="20" t="str">
        <f t="shared" si="16"/>
        <v/>
      </c>
    </row>
    <row r="14" spans="1:32 16369:16373" ht="15" customHeight="1">
      <c r="A14" s="54"/>
      <c r="B14" s="60"/>
      <c r="C14" s="33" t="str">
        <f t="shared" ref="C14" si="22">IF(OR(LEN(C13)&lt;1,LEN(D14)&lt;1),"","C")</f>
        <v/>
      </c>
      <c r="D14" s="38"/>
      <c r="E14" s="42"/>
      <c r="F14" s="52"/>
      <c r="G14" s="57"/>
      <c r="H14" s="38"/>
      <c r="I14" s="38"/>
      <c r="J14" s="48"/>
      <c r="K14" s="49"/>
      <c r="M14" s="25">
        <f t="shared" si="5"/>
        <v>0</v>
      </c>
      <c r="N14" s="25" t="str">
        <f t="shared" si="20"/>
        <v/>
      </c>
      <c r="O14" s="26" t="str">
        <f t="shared" si="6"/>
        <v/>
      </c>
      <c r="P14" s="26">
        <f t="shared" si="7"/>
        <v>0</v>
      </c>
      <c r="Q14" s="20" t="s">
        <v>41</v>
      </c>
      <c r="R14" s="20">
        <f t="shared" si="1"/>
        <v>0</v>
      </c>
      <c r="S14" s="20">
        <f t="shared" si="2"/>
        <v>0</v>
      </c>
      <c r="T14" s="20">
        <f t="shared" si="8"/>
        <v>0</v>
      </c>
      <c r="U14" s="20">
        <f t="shared" si="9"/>
        <v>0</v>
      </c>
      <c r="V14" s="20" t="str">
        <f t="shared" si="10"/>
        <v/>
      </c>
      <c r="W14" s="20" t="str">
        <f t="shared" si="3"/>
        <v/>
      </c>
      <c r="X14" s="20" t="str">
        <f t="shared" si="11"/>
        <v/>
      </c>
      <c r="Y14">
        <f t="shared" si="12"/>
        <v>0</v>
      </c>
      <c r="Z14">
        <f t="shared" si="13"/>
        <v>0</v>
      </c>
      <c r="AA14" s="14" t="b">
        <f t="shared" si="4"/>
        <v>0</v>
      </c>
      <c r="AB14" s="28" t="str">
        <f t="shared" si="14"/>
        <v/>
      </c>
      <c r="AC14" s="20" t="str">
        <f t="shared" si="15"/>
        <v/>
      </c>
      <c r="AD14" s="20" t="str">
        <f t="shared" si="16"/>
        <v/>
      </c>
    </row>
    <row r="15" spans="1:32 16369:16373" ht="15" customHeight="1">
      <c r="A15" s="54"/>
      <c r="B15" s="60"/>
      <c r="C15" s="33" t="str">
        <f t="shared" ref="C15" si="23">IF(OR(LEN(C14)&lt;1,LEN(D15)&lt;1),"","D")</f>
        <v/>
      </c>
      <c r="D15" s="38"/>
      <c r="E15" s="44"/>
      <c r="F15" s="52"/>
      <c r="G15" s="57"/>
      <c r="H15" s="38"/>
      <c r="I15" s="38"/>
      <c r="J15" s="48"/>
      <c r="K15" s="49"/>
      <c r="M15" s="25">
        <f t="shared" si="5"/>
        <v>0</v>
      </c>
      <c r="N15" s="25" t="str">
        <f t="shared" si="20"/>
        <v/>
      </c>
      <c r="O15" s="26" t="str">
        <f t="shared" si="6"/>
        <v/>
      </c>
      <c r="P15" s="26">
        <f t="shared" si="7"/>
        <v>0</v>
      </c>
      <c r="Q15" s="20" t="s">
        <v>41</v>
      </c>
      <c r="R15" s="20">
        <f t="shared" si="1"/>
        <v>0</v>
      </c>
      <c r="S15" s="20">
        <f t="shared" si="2"/>
        <v>0</v>
      </c>
      <c r="T15" s="20">
        <f t="shared" si="8"/>
        <v>0</v>
      </c>
      <c r="U15" s="20">
        <f t="shared" si="9"/>
        <v>0</v>
      </c>
      <c r="V15" s="20" t="str">
        <f t="shared" si="10"/>
        <v/>
      </c>
      <c r="W15" s="20" t="str">
        <f t="shared" si="3"/>
        <v/>
      </c>
      <c r="X15" s="20" t="str">
        <f t="shared" si="11"/>
        <v/>
      </c>
      <c r="Y15">
        <f t="shared" si="12"/>
        <v>0</v>
      </c>
      <c r="Z15">
        <f t="shared" si="13"/>
        <v>0</v>
      </c>
      <c r="AA15" s="14" t="b">
        <f t="shared" si="4"/>
        <v>0</v>
      </c>
      <c r="AB15" s="28" t="str">
        <f t="shared" si="14"/>
        <v/>
      </c>
      <c r="AC15" s="20" t="str">
        <f t="shared" si="15"/>
        <v/>
      </c>
      <c r="AD15" s="20" t="str">
        <f t="shared" si="16"/>
        <v/>
      </c>
    </row>
    <row r="16" spans="1:32 16369:16373" ht="15.75" customHeight="1" thickBot="1">
      <c r="A16" s="55"/>
      <c r="B16" s="61"/>
      <c r="C16" s="36" t="str">
        <f t="shared" ref="C16" si="24">IF(OR(LEN(C15)&lt;1,LEN(D16)&lt;1),"","E")</f>
        <v/>
      </c>
      <c r="D16" s="39"/>
      <c r="E16" s="45"/>
      <c r="F16" s="53"/>
      <c r="G16" s="58"/>
      <c r="H16" s="39"/>
      <c r="I16" s="39"/>
      <c r="J16" s="39"/>
      <c r="K16" s="50"/>
      <c r="M16" s="25">
        <f t="shared" si="5"/>
        <v>0</v>
      </c>
      <c r="N16" s="25" t="str">
        <f t="shared" si="20"/>
        <v/>
      </c>
      <c r="O16" s="26" t="str">
        <f t="shared" si="6"/>
        <v/>
      </c>
      <c r="P16" s="26">
        <f t="shared" si="7"/>
        <v>0</v>
      </c>
      <c r="Q16" s="20" t="s">
        <v>41</v>
      </c>
      <c r="R16" s="20">
        <f t="shared" si="1"/>
        <v>0</v>
      </c>
      <c r="S16" s="20">
        <f t="shared" si="2"/>
        <v>0</v>
      </c>
      <c r="T16" s="20">
        <f t="shared" si="8"/>
        <v>0</v>
      </c>
      <c r="U16" s="20">
        <f t="shared" si="9"/>
        <v>0</v>
      </c>
      <c r="V16" s="20" t="str">
        <f t="shared" si="10"/>
        <v/>
      </c>
      <c r="W16" s="20" t="str">
        <f t="shared" si="3"/>
        <v/>
      </c>
      <c r="X16" s="20" t="str">
        <f t="shared" si="11"/>
        <v/>
      </c>
      <c r="Y16">
        <f t="shared" si="12"/>
        <v>0</v>
      </c>
      <c r="Z16">
        <f t="shared" si="13"/>
        <v>0</v>
      </c>
      <c r="AA16" s="14" t="b">
        <f t="shared" si="4"/>
        <v>0</v>
      </c>
      <c r="AB16" s="28" t="str">
        <f t="shared" si="14"/>
        <v/>
      </c>
      <c r="AC16" s="20" t="str">
        <f t="shared" si="15"/>
        <v/>
      </c>
      <c r="AD16" s="20" t="str">
        <f t="shared" si="16"/>
        <v/>
      </c>
    </row>
    <row r="17" spans="1:30" ht="15" customHeight="1">
      <c r="A17" s="54"/>
      <c r="B17" s="59" t="str">
        <f t="shared" ref="B17" si="25">IF(LEN(A17)&lt;1,"",IF(ISBLANK(B11),"",B11+1))</f>
        <v/>
      </c>
      <c r="C17" s="35" t="str">
        <f t="shared" ref="C17" si="26">IF(ISBLANK(A17),"",IF(A17="Uraian Panjang","Teks Uraian","Teks Soal"))</f>
        <v/>
      </c>
      <c r="D17" s="40"/>
      <c r="E17" s="41"/>
      <c r="F17" s="52" t="str">
        <f t="shared" ref="F17" si="27">IF(ISBLANK(A17),"",IF(A17="Pilihan Ganda","Centang salah satu jawaban disamping pada kolom KUNCI",IF(A17="Jawaban Jamak","Centang beberapa jawaban disamping pada kolom KUNCI",IF(A17="Uraian Panjang","Pastikan tidak ada jawaban yang tercentang pada kolom KUNCI",IF(A17="Esai Koreksi Otomatis","Kunci jawaban adalah teks opsi dan centang opsi tersebut pada kolom KUNCI","ISIKAN JODOHNYA PADA KOLOM KUNCI")))))</f>
        <v/>
      </c>
      <c r="G17" s="56" t="str">
        <f>IF(LEN(A17)&lt;1,"",IF(AA17=FALSE,"Ada kesalahan, mohon perhatikan kolom KETERANGAN",""))</f>
        <v/>
      </c>
      <c r="H17" s="40"/>
      <c r="I17" s="40"/>
      <c r="J17" s="46"/>
      <c r="K17" s="47"/>
      <c r="M17" s="25">
        <f t="shared" si="5"/>
        <v>0</v>
      </c>
      <c r="N17" s="25" t="str">
        <f t="shared" si="20"/>
        <v/>
      </c>
      <c r="O17" s="26" t="str">
        <f t="shared" si="6"/>
        <v/>
      </c>
      <c r="P17" s="26">
        <f t="shared" si="7"/>
        <v>0</v>
      </c>
      <c r="Q17" s="20" t="s">
        <v>41</v>
      </c>
      <c r="R17" s="20">
        <f t="shared" si="1"/>
        <v>0</v>
      </c>
      <c r="S17" s="20">
        <f t="shared" si="2"/>
        <v>0</v>
      </c>
      <c r="T17" s="20">
        <f t="shared" si="8"/>
        <v>0</v>
      </c>
      <c r="U17" s="20">
        <f t="shared" si="9"/>
        <v>0</v>
      </c>
      <c r="V17" s="20" t="str">
        <f t="shared" si="10"/>
        <v/>
      </c>
      <c r="W17" s="20" t="str">
        <f t="shared" si="3"/>
        <v/>
      </c>
      <c r="X17" s="20" t="str">
        <f t="shared" si="11"/>
        <v/>
      </c>
      <c r="Y17">
        <f t="shared" si="12"/>
        <v>0</v>
      </c>
      <c r="Z17">
        <f t="shared" si="13"/>
        <v>0</v>
      </c>
      <c r="AA17" s="14" t="b">
        <f t="shared" si="4"/>
        <v>0</v>
      </c>
      <c r="AB17" s="28" t="str">
        <f t="shared" si="14"/>
        <v/>
      </c>
      <c r="AC17" s="20" t="str">
        <f t="shared" si="15"/>
        <v/>
      </c>
      <c r="AD17" s="20" t="str">
        <f t="shared" si="16"/>
        <v/>
      </c>
    </row>
    <row r="18" spans="1:30" ht="15" customHeight="1">
      <c r="A18" s="54"/>
      <c r="B18" s="60"/>
      <c r="C18" s="33" t="str">
        <f t="shared" ref="C18" si="28">IF(C17="Teks Uraian","",IF(OR(LEN(C17)&lt;1,LEN(D18)&lt;1),"","A"))</f>
        <v/>
      </c>
      <c r="D18" s="38"/>
      <c r="E18" s="42"/>
      <c r="F18" s="52"/>
      <c r="G18" s="57"/>
      <c r="H18" s="38"/>
      <c r="I18" s="38"/>
      <c r="J18" s="48"/>
      <c r="K18" s="49"/>
      <c r="M18" s="25">
        <f t="shared" si="5"/>
        <v>0</v>
      </c>
      <c r="N18" s="25" t="str">
        <f t="shared" si="20"/>
        <v/>
      </c>
      <c r="O18" s="26" t="str">
        <f t="shared" si="6"/>
        <v/>
      </c>
      <c r="P18" s="26">
        <f t="shared" si="7"/>
        <v>0</v>
      </c>
      <c r="Q18" s="20" t="s">
        <v>41</v>
      </c>
      <c r="R18" s="20">
        <f t="shared" si="1"/>
        <v>0</v>
      </c>
      <c r="S18" s="20">
        <f t="shared" si="2"/>
        <v>0</v>
      </c>
      <c r="T18" s="20">
        <f t="shared" si="8"/>
        <v>0</v>
      </c>
      <c r="U18" s="20">
        <f t="shared" si="9"/>
        <v>0</v>
      </c>
      <c r="V18" s="20" t="str">
        <f t="shared" si="10"/>
        <v/>
      </c>
      <c r="W18" s="20" t="str">
        <f t="shared" si="3"/>
        <v/>
      </c>
      <c r="X18" s="20" t="str">
        <f t="shared" si="11"/>
        <v/>
      </c>
      <c r="Y18">
        <f t="shared" si="12"/>
        <v>0</v>
      </c>
      <c r="Z18">
        <f t="shared" si="13"/>
        <v>0</v>
      </c>
      <c r="AA18" s="14" t="b">
        <f t="shared" si="4"/>
        <v>0</v>
      </c>
      <c r="AB18" s="28" t="str">
        <f t="shared" si="14"/>
        <v/>
      </c>
      <c r="AC18" s="20" t="str">
        <f t="shared" si="15"/>
        <v/>
      </c>
      <c r="AD18" s="20" t="str">
        <f t="shared" si="16"/>
        <v/>
      </c>
    </row>
    <row r="19" spans="1:30" ht="15" customHeight="1">
      <c r="A19" s="54"/>
      <c r="B19" s="60"/>
      <c r="C19" s="33" t="str">
        <f t="shared" ref="C19" si="29">IF(OR(LEN(C18)&lt;1,LEN(D18)&lt;1),"","B")</f>
        <v/>
      </c>
      <c r="D19" s="38"/>
      <c r="E19" s="42"/>
      <c r="F19" s="52"/>
      <c r="G19" s="57"/>
      <c r="H19" s="38"/>
      <c r="I19" s="38"/>
      <c r="J19" s="48"/>
      <c r="K19" s="49"/>
      <c r="M19" s="25">
        <f t="shared" si="5"/>
        <v>0</v>
      </c>
      <c r="N19" s="25" t="str">
        <f t="shared" si="20"/>
        <v/>
      </c>
      <c r="O19" s="26" t="str">
        <f t="shared" si="6"/>
        <v/>
      </c>
      <c r="P19" s="26">
        <f t="shared" si="7"/>
        <v>0</v>
      </c>
      <c r="Q19" s="20" t="s">
        <v>41</v>
      </c>
      <c r="R19" s="20">
        <f t="shared" si="1"/>
        <v>0</v>
      </c>
      <c r="S19" s="20">
        <f t="shared" si="2"/>
        <v>0</v>
      </c>
      <c r="T19" s="20">
        <f t="shared" si="8"/>
        <v>0</v>
      </c>
      <c r="U19" s="20">
        <f t="shared" si="9"/>
        <v>0</v>
      </c>
      <c r="V19" s="20" t="str">
        <f t="shared" si="10"/>
        <v/>
      </c>
      <c r="W19" s="20" t="str">
        <f t="shared" si="3"/>
        <v/>
      </c>
      <c r="X19" s="20" t="str">
        <f t="shared" si="11"/>
        <v/>
      </c>
      <c r="Y19">
        <f t="shared" si="12"/>
        <v>0</v>
      </c>
      <c r="Z19">
        <f t="shared" si="13"/>
        <v>0</v>
      </c>
      <c r="AA19" s="14" t="b">
        <f t="shared" si="4"/>
        <v>0</v>
      </c>
      <c r="AB19" s="28" t="str">
        <f t="shared" si="14"/>
        <v/>
      </c>
      <c r="AC19" s="20" t="str">
        <f t="shared" si="15"/>
        <v/>
      </c>
      <c r="AD19" s="20" t="str">
        <f t="shared" si="16"/>
        <v/>
      </c>
    </row>
    <row r="20" spans="1:30" ht="15" customHeight="1">
      <c r="A20" s="54"/>
      <c r="B20" s="60"/>
      <c r="C20" s="33" t="str">
        <f t="shared" ref="C20" si="30">IF(OR(LEN(C19)&lt;1,LEN(D20)&lt;1),"","C")</f>
        <v/>
      </c>
      <c r="D20" s="38"/>
      <c r="E20" s="42"/>
      <c r="F20" s="52"/>
      <c r="G20" s="57"/>
      <c r="H20" s="38"/>
      <c r="I20" s="38"/>
      <c r="J20" s="48"/>
      <c r="K20" s="49"/>
      <c r="M20" s="25">
        <f t="shared" si="5"/>
        <v>0</v>
      </c>
      <c r="N20" s="25" t="str">
        <f t="shared" si="20"/>
        <v/>
      </c>
      <c r="O20" s="26" t="str">
        <f t="shared" si="6"/>
        <v/>
      </c>
      <c r="P20" s="26">
        <f t="shared" si="7"/>
        <v>0</v>
      </c>
      <c r="Q20" s="20" t="s">
        <v>41</v>
      </c>
      <c r="R20" s="20">
        <f t="shared" si="1"/>
        <v>0</v>
      </c>
      <c r="S20" s="20">
        <f t="shared" si="2"/>
        <v>0</v>
      </c>
      <c r="T20" s="20">
        <f t="shared" si="8"/>
        <v>0</v>
      </c>
      <c r="U20" s="20">
        <f t="shared" si="9"/>
        <v>0</v>
      </c>
      <c r="V20" s="20" t="str">
        <f t="shared" si="10"/>
        <v/>
      </c>
      <c r="W20" s="20" t="str">
        <f t="shared" si="3"/>
        <v/>
      </c>
      <c r="X20" s="20" t="str">
        <f t="shared" si="11"/>
        <v/>
      </c>
      <c r="Y20">
        <f t="shared" si="12"/>
        <v>0</v>
      </c>
      <c r="Z20">
        <f t="shared" si="13"/>
        <v>0</v>
      </c>
      <c r="AA20" s="14" t="b">
        <f t="shared" si="4"/>
        <v>0</v>
      </c>
      <c r="AB20" s="28" t="str">
        <f t="shared" si="14"/>
        <v/>
      </c>
      <c r="AC20" s="20" t="str">
        <f t="shared" si="15"/>
        <v/>
      </c>
      <c r="AD20" s="20" t="str">
        <f t="shared" si="16"/>
        <v/>
      </c>
    </row>
    <row r="21" spans="1:30" ht="15" customHeight="1">
      <c r="A21" s="54"/>
      <c r="B21" s="60"/>
      <c r="C21" s="33" t="str">
        <f t="shared" ref="C21" si="31">IF(OR(LEN(C20)&lt;1,LEN(D21)&lt;1),"","D")</f>
        <v/>
      </c>
      <c r="D21" s="38"/>
      <c r="E21" s="44"/>
      <c r="F21" s="52"/>
      <c r="G21" s="57"/>
      <c r="H21" s="38"/>
      <c r="I21" s="38"/>
      <c r="J21" s="48"/>
      <c r="K21" s="49"/>
      <c r="M21" s="25">
        <f t="shared" si="5"/>
        <v>0</v>
      </c>
      <c r="N21" s="25" t="str">
        <f t="shared" si="20"/>
        <v/>
      </c>
      <c r="O21" s="26" t="str">
        <f t="shared" si="6"/>
        <v/>
      </c>
      <c r="P21" s="26">
        <f t="shared" si="7"/>
        <v>0</v>
      </c>
      <c r="Q21" s="20" t="s">
        <v>41</v>
      </c>
      <c r="R21" s="20">
        <f t="shared" si="1"/>
        <v>0</v>
      </c>
      <c r="S21" s="20">
        <f t="shared" si="2"/>
        <v>0</v>
      </c>
      <c r="T21" s="20">
        <f t="shared" si="8"/>
        <v>0</v>
      </c>
      <c r="U21" s="20">
        <f t="shared" si="9"/>
        <v>0</v>
      </c>
      <c r="V21" s="20" t="str">
        <f t="shared" si="10"/>
        <v/>
      </c>
      <c r="W21" s="20" t="str">
        <f t="shared" si="3"/>
        <v/>
      </c>
      <c r="X21" s="20" t="str">
        <f t="shared" si="11"/>
        <v/>
      </c>
      <c r="Y21">
        <f t="shared" si="12"/>
        <v>0</v>
      </c>
      <c r="Z21">
        <f t="shared" si="13"/>
        <v>0</v>
      </c>
      <c r="AA21" s="14" t="b">
        <f t="shared" si="4"/>
        <v>0</v>
      </c>
      <c r="AB21" s="28" t="str">
        <f t="shared" si="14"/>
        <v/>
      </c>
      <c r="AC21" s="20" t="str">
        <f t="shared" si="15"/>
        <v/>
      </c>
      <c r="AD21" s="20" t="str">
        <f t="shared" si="16"/>
        <v/>
      </c>
    </row>
    <row r="22" spans="1:30" ht="15.75" customHeight="1" thickBot="1">
      <c r="A22" s="55"/>
      <c r="B22" s="61"/>
      <c r="C22" s="36" t="str">
        <f t="shared" ref="C22" si="32">IF(OR(LEN(C21)&lt;1,LEN(D22)&lt;1),"","E")</f>
        <v/>
      </c>
      <c r="D22" s="39"/>
      <c r="E22" s="45"/>
      <c r="F22" s="53"/>
      <c r="G22" s="58"/>
      <c r="H22" s="39"/>
      <c r="I22" s="39"/>
      <c r="J22" s="39"/>
      <c r="K22" s="50"/>
      <c r="M22" s="25">
        <f t="shared" si="5"/>
        <v>0</v>
      </c>
      <c r="N22" s="25" t="str">
        <f t="shared" si="20"/>
        <v/>
      </c>
      <c r="O22" s="26" t="str">
        <f t="shared" si="6"/>
        <v/>
      </c>
      <c r="P22" s="26">
        <f t="shared" si="7"/>
        <v>0</v>
      </c>
      <c r="Q22" s="20" t="s">
        <v>41</v>
      </c>
      <c r="R22" s="20">
        <f t="shared" si="1"/>
        <v>0</v>
      </c>
      <c r="S22" s="20">
        <f t="shared" si="2"/>
        <v>0</v>
      </c>
      <c r="T22" s="20">
        <f t="shared" si="8"/>
        <v>0</v>
      </c>
      <c r="U22" s="20">
        <f t="shared" si="9"/>
        <v>0</v>
      </c>
      <c r="V22" s="20" t="str">
        <f t="shared" si="10"/>
        <v/>
      </c>
      <c r="W22" s="20" t="str">
        <f t="shared" si="3"/>
        <v/>
      </c>
      <c r="X22" s="20" t="str">
        <f t="shared" si="11"/>
        <v/>
      </c>
      <c r="Y22">
        <f t="shared" si="12"/>
        <v>0</v>
      </c>
      <c r="Z22">
        <f t="shared" si="13"/>
        <v>0</v>
      </c>
      <c r="AA22" s="14" t="b">
        <f t="shared" si="4"/>
        <v>0</v>
      </c>
      <c r="AB22" s="28" t="str">
        <f t="shared" si="14"/>
        <v/>
      </c>
      <c r="AC22" s="20" t="str">
        <f t="shared" si="15"/>
        <v/>
      </c>
      <c r="AD22" s="20" t="str">
        <f t="shared" si="16"/>
        <v/>
      </c>
    </row>
    <row r="23" spans="1:30" ht="15" customHeight="1">
      <c r="A23" s="54"/>
      <c r="B23" s="59" t="str">
        <f t="shared" ref="B23" si="33">IF(LEN(A23)&lt;1,"",IF(ISBLANK(B17),"",B17+1))</f>
        <v/>
      </c>
      <c r="C23" s="35" t="str">
        <f t="shared" ref="C23" si="34">IF(ISBLANK(A23),"",IF(A23="Uraian Panjang","Teks Uraian","Teks Soal"))</f>
        <v/>
      </c>
      <c r="D23" s="40"/>
      <c r="E23" s="41"/>
      <c r="F23" s="52" t="str">
        <f t="shared" ref="F23" si="35">IF(ISBLANK(A23),"",IF(A23="Pilihan Ganda","Centang salah satu jawaban disamping pada kolom KUNCI",IF(A23="Jawaban Jamak","Centang beberapa jawaban disamping pada kolom KUNCI",IF(A23="Uraian Panjang","Pastikan tidak ada jawaban yang tercentang pada kolom KUNCI",IF(A23="Esai Koreksi Otomatis","Kunci jawaban adalah teks opsi dan centang opsi tersebut pada kolom KUNCI","ISIKAN JODOHNYA PADA KOLOM KUNCI")))))</f>
        <v/>
      </c>
      <c r="G23" s="56" t="str">
        <f>IF(LEN(A23)&lt;1,"",IF(AA23=FALSE,"Ada kesalahan, mohon perhatikan kolom KETERANGAN",""))</f>
        <v/>
      </c>
      <c r="H23" s="40"/>
      <c r="I23" s="40"/>
      <c r="J23" s="46"/>
      <c r="K23" s="47"/>
      <c r="M23" s="25">
        <f t="shared" si="5"/>
        <v>0</v>
      </c>
      <c r="N23" s="25" t="str">
        <f t="shared" si="20"/>
        <v/>
      </c>
      <c r="O23" s="26" t="str">
        <f t="shared" si="6"/>
        <v/>
      </c>
      <c r="P23" s="26">
        <f t="shared" si="7"/>
        <v>0</v>
      </c>
      <c r="Q23" s="20" t="s">
        <v>41</v>
      </c>
      <c r="R23" s="20">
        <f t="shared" si="1"/>
        <v>0</v>
      </c>
      <c r="S23" s="20">
        <f t="shared" si="2"/>
        <v>0</v>
      </c>
      <c r="T23" s="20">
        <f t="shared" si="8"/>
        <v>0</v>
      </c>
      <c r="U23" s="20">
        <f t="shared" si="9"/>
        <v>0</v>
      </c>
      <c r="V23" s="20" t="str">
        <f t="shared" si="10"/>
        <v/>
      </c>
      <c r="W23" s="20" t="str">
        <f t="shared" si="3"/>
        <v/>
      </c>
      <c r="X23" s="20" t="str">
        <f t="shared" si="11"/>
        <v/>
      </c>
      <c r="Y23">
        <f t="shared" si="12"/>
        <v>0</v>
      </c>
      <c r="Z23">
        <f t="shared" si="13"/>
        <v>0</v>
      </c>
      <c r="AA23" s="14" t="b">
        <f t="shared" si="4"/>
        <v>0</v>
      </c>
      <c r="AB23" s="28" t="str">
        <f t="shared" si="14"/>
        <v/>
      </c>
      <c r="AC23" s="20" t="str">
        <f t="shared" si="15"/>
        <v/>
      </c>
      <c r="AD23" s="20" t="str">
        <f t="shared" si="16"/>
        <v/>
      </c>
    </row>
    <row r="24" spans="1:30" ht="15" customHeight="1">
      <c r="A24" s="54"/>
      <c r="B24" s="60"/>
      <c r="C24" s="33" t="str">
        <f t="shared" ref="C24" si="36">IF(C23="Teks Uraian","",IF(OR(LEN(C23)&lt;1,LEN(D24)&lt;1),"","A"))</f>
        <v/>
      </c>
      <c r="D24" s="38"/>
      <c r="E24" s="44"/>
      <c r="F24" s="52"/>
      <c r="G24" s="57"/>
      <c r="H24" s="38"/>
      <c r="I24" s="38"/>
      <c r="J24" s="48"/>
      <c r="K24" s="49"/>
      <c r="M24" s="25">
        <f t="shared" si="5"/>
        <v>0</v>
      </c>
      <c r="N24" s="25" t="str">
        <f t="shared" si="20"/>
        <v/>
      </c>
      <c r="O24" s="26" t="str">
        <f t="shared" si="6"/>
        <v/>
      </c>
      <c r="P24" s="26">
        <f t="shared" si="7"/>
        <v>0</v>
      </c>
      <c r="Q24" s="20" t="s">
        <v>41</v>
      </c>
      <c r="R24" s="20">
        <f t="shared" si="1"/>
        <v>0</v>
      </c>
      <c r="S24" s="20">
        <f t="shared" si="2"/>
        <v>0</v>
      </c>
      <c r="T24" s="20">
        <f t="shared" si="8"/>
        <v>0</v>
      </c>
      <c r="U24" s="20">
        <f t="shared" si="9"/>
        <v>0</v>
      </c>
      <c r="V24" s="20" t="str">
        <f t="shared" si="10"/>
        <v/>
      </c>
      <c r="W24" s="20" t="str">
        <f t="shared" si="3"/>
        <v/>
      </c>
      <c r="X24" s="20" t="str">
        <f t="shared" si="11"/>
        <v/>
      </c>
      <c r="Y24">
        <f t="shared" si="12"/>
        <v>0</v>
      </c>
      <c r="Z24">
        <f t="shared" si="13"/>
        <v>0</v>
      </c>
      <c r="AA24" s="14" t="b">
        <f t="shared" si="4"/>
        <v>0</v>
      </c>
      <c r="AB24" s="28" t="str">
        <f t="shared" si="14"/>
        <v/>
      </c>
      <c r="AC24" s="20" t="str">
        <f t="shared" si="15"/>
        <v/>
      </c>
      <c r="AD24" s="20" t="str">
        <f t="shared" si="16"/>
        <v/>
      </c>
    </row>
    <row r="25" spans="1:30" ht="15" customHeight="1">
      <c r="A25" s="54"/>
      <c r="B25" s="60"/>
      <c r="C25" s="33" t="str">
        <f t="shared" ref="C25" si="37">IF(OR(LEN(C24)&lt;1,LEN(D24)&lt;1),"","B")</f>
        <v/>
      </c>
      <c r="D25" s="38"/>
      <c r="E25" s="44"/>
      <c r="F25" s="52"/>
      <c r="G25" s="57"/>
      <c r="H25" s="38"/>
      <c r="I25" s="38"/>
      <c r="J25" s="48"/>
      <c r="K25" s="49"/>
      <c r="M25" s="25">
        <f t="shared" si="5"/>
        <v>0</v>
      </c>
      <c r="N25" s="25" t="str">
        <f t="shared" si="20"/>
        <v/>
      </c>
      <c r="O25" s="26" t="str">
        <f t="shared" si="6"/>
        <v/>
      </c>
      <c r="P25" s="26">
        <f t="shared" si="7"/>
        <v>0</v>
      </c>
      <c r="Q25" s="20" t="s">
        <v>41</v>
      </c>
      <c r="R25" s="20">
        <f t="shared" si="1"/>
        <v>0</v>
      </c>
      <c r="S25" s="20">
        <f t="shared" si="2"/>
        <v>0</v>
      </c>
      <c r="T25" s="20">
        <f t="shared" si="8"/>
        <v>0</v>
      </c>
      <c r="U25" s="20">
        <f t="shared" si="9"/>
        <v>0</v>
      </c>
      <c r="V25" s="20" t="str">
        <f t="shared" si="10"/>
        <v/>
      </c>
      <c r="W25" s="20" t="str">
        <f t="shared" si="3"/>
        <v/>
      </c>
      <c r="X25" s="20" t="str">
        <f t="shared" si="11"/>
        <v/>
      </c>
      <c r="Y25">
        <f t="shared" si="12"/>
        <v>0</v>
      </c>
      <c r="Z25">
        <f t="shared" si="13"/>
        <v>0</v>
      </c>
      <c r="AA25" s="14" t="b">
        <f t="shared" si="4"/>
        <v>0</v>
      </c>
      <c r="AB25" s="28" t="str">
        <f t="shared" si="14"/>
        <v/>
      </c>
      <c r="AC25" s="20" t="str">
        <f t="shared" si="15"/>
        <v/>
      </c>
      <c r="AD25" s="20" t="str">
        <f t="shared" si="16"/>
        <v/>
      </c>
    </row>
    <row r="26" spans="1:30" ht="15" customHeight="1">
      <c r="A26" s="54"/>
      <c r="B26" s="60"/>
      <c r="C26" s="33" t="str">
        <f t="shared" ref="C26" si="38">IF(OR(LEN(C25)&lt;1,LEN(D26)&lt;1),"","C")</f>
        <v/>
      </c>
      <c r="D26" s="38"/>
      <c r="E26" s="42"/>
      <c r="F26" s="52"/>
      <c r="G26" s="57"/>
      <c r="H26" s="38"/>
      <c r="I26" s="38"/>
      <c r="J26" s="48"/>
      <c r="K26" s="49"/>
      <c r="M26" s="25">
        <f t="shared" si="5"/>
        <v>0</v>
      </c>
      <c r="N26" s="25" t="str">
        <f t="shared" si="20"/>
        <v/>
      </c>
      <c r="O26" s="26" t="str">
        <f t="shared" si="6"/>
        <v/>
      </c>
      <c r="P26" s="26">
        <f t="shared" si="7"/>
        <v>0</v>
      </c>
      <c r="Q26" s="20" t="s">
        <v>41</v>
      </c>
      <c r="R26" s="20">
        <f t="shared" si="1"/>
        <v>0</v>
      </c>
      <c r="S26" s="20">
        <f t="shared" si="2"/>
        <v>0</v>
      </c>
      <c r="T26" s="20">
        <f t="shared" si="8"/>
        <v>0</v>
      </c>
      <c r="U26" s="20">
        <f t="shared" si="9"/>
        <v>0</v>
      </c>
      <c r="V26" s="20" t="str">
        <f t="shared" si="10"/>
        <v/>
      </c>
      <c r="W26" s="20" t="str">
        <f t="shared" si="3"/>
        <v/>
      </c>
      <c r="X26" s="20" t="str">
        <f t="shared" si="11"/>
        <v/>
      </c>
      <c r="Y26">
        <f t="shared" si="12"/>
        <v>0</v>
      </c>
      <c r="Z26">
        <f t="shared" si="13"/>
        <v>0</v>
      </c>
      <c r="AA26" s="14" t="b">
        <f t="shared" si="4"/>
        <v>0</v>
      </c>
      <c r="AB26" s="28" t="str">
        <f t="shared" si="14"/>
        <v/>
      </c>
      <c r="AC26" s="20" t="str">
        <f t="shared" si="15"/>
        <v/>
      </c>
      <c r="AD26" s="20" t="str">
        <f t="shared" si="16"/>
        <v/>
      </c>
    </row>
    <row r="27" spans="1:30" ht="15" customHeight="1">
      <c r="A27" s="54"/>
      <c r="B27" s="60"/>
      <c r="C27" s="33" t="str">
        <f t="shared" ref="C27" si="39">IF(OR(LEN(C26)&lt;1,LEN(D27)&lt;1),"","D")</f>
        <v/>
      </c>
      <c r="D27" s="38"/>
      <c r="E27" s="44"/>
      <c r="F27" s="52"/>
      <c r="G27" s="57"/>
      <c r="H27" s="38"/>
      <c r="I27" s="38"/>
      <c r="J27" s="48"/>
      <c r="K27" s="49"/>
      <c r="M27" s="25">
        <f t="shared" si="5"/>
        <v>0</v>
      </c>
      <c r="N27" s="25" t="str">
        <f t="shared" si="20"/>
        <v/>
      </c>
      <c r="O27" s="26" t="str">
        <f t="shared" si="6"/>
        <v/>
      </c>
      <c r="P27" s="26">
        <f t="shared" si="7"/>
        <v>0</v>
      </c>
      <c r="Q27" s="20" t="s">
        <v>41</v>
      </c>
      <c r="R27" s="20">
        <f t="shared" si="1"/>
        <v>0</v>
      </c>
      <c r="S27" s="20">
        <f t="shared" si="2"/>
        <v>0</v>
      </c>
      <c r="T27" s="20">
        <f t="shared" si="8"/>
        <v>0</v>
      </c>
      <c r="U27" s="20">
        <f t="shared" si="9"/>
        <v>0</v>
      </c>
      <c r="V27" s="20" t="str">
        <f t="shared" si="10"/>
        <v/>
      </c>
      <c r="W27" s="20" t="str">
        <f t="shared" si="3"/>
        <v/>
      </c>
      <c r="X27" s="20" t="str">
        <f t="shared" si="11"/>
        <v/>
      </c>
      <c r="Y27">
        <f t="shared" si="12"/>
        <v>0</v>
      </c>
      <c r="Z27">
        <f t="shared" si="13"/>
        <v>0</v>
      </c>
      <c r="AA27" s="14" t="b">
        <f t="shared" si="4"/>
        <v>0</v>
      </c>
      <c r="AB27" s="28" t="str">
        <f t="shared" si="14"/>
        <v/>
      </c>
      <c r="AC27" s="20" t="str">
        <f t="shared" si="15"/>
        <v/>
      </c>
      <c r="AD27" s="20" t="str">
        <f t="shared" si="16"/>
        <v/>
      </c>
    </row>
    <row r="28" spans="1:30" ht="15.75" customHeight="1" thickBot="1">
      <c r="A28" s="55"/>
      <c r="B28" s="61"/>
      <c r="C28" s="36" t="str">
        <f t="shared" ref="C28" si="40">IF(OR(LEN(C27)&lt;1,LEN(D28)&lt;1),"","E")</f>
        <v/>
      </c>
      <c r="D28" s="39"/>
      <c r="E28" s="45"/>
      <c r="F28" s="53"/>
      <c r="G28" s="58"/>
      <c r="H28" s="39"/>
      <c r="I28" s="39"/>
      <c r="J28" s="39"/>
      <c r="K28" s="50"/>
      <c r="M28" s="25">
        <f t="shared" si="5"/>
        <v>0</v>
      </c>
      <c r="N28" s="25" t="str">
        <f t="shared" si="20"/>
        <v/>
      </c>
      <c r="O28" s="26" t="str">
        <f t="shared" si="6"/>
        <v/>
      </c>
      <c r="P28" s="26">
        <f t="shared" si="7"/>
        <v>0</v>
      </c>
      <c r="Q28" s="20" t="s">
        <v>41</v>
      </c>
      <c r="R28" s="20">
        <f t="shared" si="1"/>
        <v>0</v>
      </c>
      <c r="S28" s="20">
        <f t="shared" si="2"/>
        <v>0</v>
      </c>
      <c r="T28" s="20">
        <f t="shared" si="8"/>
        <v>0</v>
      </c>
      <c r="U28" s="20">
        <f t="shared" si="9"/>
        <v>0</v>
      </c>
      <c r="V28" s="20" t="str">
        <f t="shared" si="10"/>
        <v/>
      </c>
      <c r="W28" s="20" t="str">
        <f t="shared" si="3"/>
        <v/>
      </c>
      <c r="X28" s="20" t="str">
        <f t="shared" si="11"/>
        <v/>
      </c>
      <c r="Y28">
        <f t="shared" si="12"/>
        <v>0</v>
      </c>
      <c r="Z28">
        <f t="shared" si="13"/>
        <v>0</v>
      </c>
      <c r="AA28" s="14" t="b">
        <f t="shared" si="4"/>
        <v>0</v>
      </c>
      <c r="AB28" s="28" t="str">
        <f t="shared" si="14"/>
        <v/>
      </c>
      <c r="AC28" s="20" t="str">
        <f t="shared" si="15"/>
        <v/>
      </c>
      <c r="AD28" s="20" t="str">
        <f t="shared" si="16"/>
        <v/>
      </c>
    </row>
    <row r="29" spans="1:30" ht="34.5" customHeight="1">
      <c r="A29" s="54"/>
      <c r="B29" s="59" t="str">
        <f t="shared" ref="B29" si="41">IF(LEN(A29)&lt;1,"",IF(ISBLANK(B23),"",B23+1))</f>
        <v/>
      </c>
      <c r="C29" s="35" t="str">
        <f t="shared" ref="C29" si="42">IF(ISBLANK(A29),"",IF(A29="Uraian Panjang","Teks Uraian","Teks Soal"))</f>
        <v/>
      </c>
      <c r="D29" s="40"/>
      <c r="E29" s="41"/>
      <c r="F29" s="52" t="str">
        <f t="shared" ref="F29" si="43">IF(ISBLANK(A29),"",IF(A29="Pilihan Ganda","Centang salah satu jawaban disamping pada kolom KUNCI",IF(A29="Jawaban Jamak","Centang beberapa jawaban disamping pada kolom KUNCI",IF(A29="Uraian Panjang","Pastikan tidak ada jawaban yang tercentang pada kolom KUNCI",IF(A29="Esai Koreksi Otomatis","Kunci jawaban adalah teks opsi dan centang opsi tersebut pada kolom KUNCI","ISIKAN JODOHNYA PADA KOLOM KUNCI")))))</f>
        <v/>
      </c>
      <c r="G29" s="56" t="str">
        <f>IF(LEN(A29)&lt;1,"",IF(AA29=FALSE,"Ada kesalahan, mohon perhatikan kolom KETERANGAN",""))</f>
        <v/>
      </c>
      <c r="H29" s="40"/>
      <c r="I29" s="40"/>
      <c r="J29" s="46"/>
      <c r="K29" s="47"/>
      <c r="M29" s="25">
        <f t="shared" si="5"/>
        <v>0</v>
      </c>
      <c r="N29" s="25" t="str">
        <f t="shared" si="20"/>
        <v/>
      </c>
      <c r="O29" s="26" t="str">
        <f t="shared" si="6"/>
        <v/>
      </c>
      <c r="P29" s="26">
        <f t="shared" si="7"/>
        <v>0</v>
      </c>
      <c r="Q29" s="20" t="s">
        <v>41</v>
      </c>
      <c r="R29" s="20">
        <f t="shared" si="1"/>
        <v>0</v>
      </c>
      <c r="S29" s="20">
        <f t="shared" si="2"/>
        <v>0</v>
      </c>
      <c r="T29" s="20">
        <f t="shared" si="8"/>
        <v>0</v>
      </c>
      <c r="U29" s="20">
        <f t="shared" si="9"/>
        <v>0</v>
      </c>
      <c r="V29" s="20" t="str">
        <f t="shared" si="10"/>
        <v/>
      </c>
      <c r="W29" s="20" t="str">
        <f t="shared" si="3"/>
        <v/>
      </c>
      <c r="X29" s="20" t="str">
        <f t="shared" si="11"/>
        <v/>
      </c>
      <c r="Y29">
        <f t="shared" si="12"/>
        <v>0</v>
      </c>
      <c r="Z29">
        <f t="shared" si="13"/>
        <v>0</v>
      </c>
      <c r="AA29" s="14" t="b">
        <f t="shared" si="4"/>
        <v>0</v>
      </c>
      <c r="AB29" s="28" t="str">
        <f t="shared" si="14"/>
        <v/>
      </c>
      <c r="AC29" s="20" t="str">
        <f t="shared" si="15"/>
        <v/>
      </c>
      <c r="AD29" s="20" t="str">
        <f t="shared" si="16"/>
        <v/>
      </c>
    </row>
    <row r="30" spans="1:30" ht="15" customHeight="1">
      <c r="A30" s="54"/>
      <c r="B30" s="60"/>
      <c r="C30" s="33" t="str">
        <f t="shared" ref="C30" si="44">IF(C29="Teks Uraian","",IF(OR(LEN(C29)&lt;1,LEN(D30)&lt;1),"","A"))</f>
        <v/>
      </c>
      <c r="D30" s="38"/>
      <c r="E30" s="42"/>
      <c r="F30" s="52"/>
      <c r="G30" s="57"/>
      <c r="H30" s="38"/>
      <c r="I30" s="38"/>
      <c r="J30" s="48"/>
      <c r="K30" s="49"/>
      <c r="M30" s="25">
        <f t="shared" si="5"/>
        <v>0</v>
      </c>
      <c r="N30" s="25" t="str">
        <f t="shared" si="20"/>
        <v/>
      </c>
      <c r="O30" s="26" t="str">
        <f t="shared" si="6"/>
        <v/>
      </c>
      <c r="P30" s="26">
        <f t="shared" si="7"/>
        <v>0</v>
      </c>
      <c r="Q30" s="20" t="s">
        <v>41</v>
      </c>
      <c r="R30" s="20">
        <f t="shared" si="1"/>
        <v>0</v>
      </c>
      <c r="S30" s="20">
        <f t="shared" si="2"/>
        <v>0</v>
      </c>
      <c r="T30" s="20">
        <f t="shared" si="8"/>
        <v>0</v>
      </c>
      <c r="U30" s="20">
        <f t="shared" si="9"/>
        <v>0</v>
      </c>
      <c r="V30" s="20" t="str">
        <f t="shared" si="10"/>
        <v/>
      </c>
      <c r="W30" s="20" t="str">
        <f t="shared" si="3"/>
        <v/>
      </c>
      <c r="X30" s="20" t="str">
        <f t="shared" si="11"/>
        <v/>
      </c>
      <c r="Y30">
        <f t="shared" si="12"/>
        <v>0</v>
      </c>
      <c r="Z30">
        <f t="shared" si="13"/>
        <v>0</v>
      </c>
      <c r="AA30" s="14" t="b">
        <f t="shared" si="4"/>
        <v>0</v>
      </c>
      <c r="AB30" s="28" t="str">
        <f t="shared" si="14"/>
        <v/>
      </c>
      <c r="AC30" s="20" t="str">
        <f t="shared" si="15"/>
        <v/>
      </c>
      <c r="AD30" s="20" t="str">
        <f t="shared" si="16"/>
        <v/>
      </c>
    </row>
    <row r="31" spans="1:30" ht="15" customHeight="1">
      <c r="A31" s="54"/>
      <c r="B31" s="60"/>
      <c r="C31" s="33" t="str">
        <f t="shared" ref="C31" si="45">IF(OR(LEN(C30)&lt;1,LEN(D30)&lt;1),"","B")</f>
        <v/>
      </c>
      <c r="D31" s="38"/>
      <c r="E31" s="42"/>
      <c r="F31" s="52"/>
      <c r="G31" s="57"/>
      <c r="H31" s="38"/>
      <c r="I31" s="38"/>
      <c r="J31" s="48"/>
      <c r="K31" s="49"/>
      <c r="M31" s="25">
        <f t="shared" si="5"/>
        <v>0</v>
      </c>
      <c r="N31" s="25" t="str">
        <f t="shared" si="20"/>
        <v/>
      </c>
      <c r="O31" s="26" t="str">
        <f t="shared" si="6"/>
        <v/>
      </c>
      <c r="P31" s="26">
        <f t="shared" si="7"/>
        <v>0</v>
      </c>
      <c r="Q31" s="20" t="s">
        <v>41</v>
      </c>
      <c r="R31" s="20">
        <f t="shared" si="1"/>
        <v>0</v>
      </c>
      <c r="S31" s="20">
        <f t="shared" si="2"/>
        <v>0</v>
      </c>
      <c r="T31" s="20">
        <f t="shared" si="8"/>
        <v>0</v>
      </c>
      <c r="U31" s="20">
        <f t="shared" si="9"/>
        <v>0</v>
      </c>
      <c r="V31" s="20" t="str">
        <f t="shared" si="10"/>
        <v/>
      </c>
      <c r="W31" s="20" t="str">
        <f t="shared" si="3"/>
        <v/>
      </c>
      <c r="X31" s="20" t="str">
        <f t="shared" si="11"/>
        <v/>
      </c>
      <c r="Y31">
        <f t="shared" si="12"/>
        <v>0</v>
      </c>
      <c r="Z31">
        <f t="shared" si="13"/>
        <v>0</v>
      </c>
      <c r="AA31" s="14" t="b">
        <f t="shared" si="4"/>
        <v>0</v>
      </c>
      <c r="AB31" s="28" t="str">
        <f t="shared" si="14"/>
        <v/>
      </c>
      <c r="AC31" s="20" t="str">
        <f t="shared" si="15"/>
        <v/>
      </c>
      <c r="AD31" s="20" t="str">
        <f t="shared" si="16"/>
        <v/>
      </c>
    </row>
    <row r="32" spans="1:30" ht="15" customHeight="1">
      <c r="A32" s="54"/>
      <c r="B32" s="60"/>
      <c r="C32" s="33" t="str">
        <f t="shared" ref="C32" si="46">IF(OR(LEN(C31)&lt;1,LEN(D32)&lt;1),"","C")</f>
        <v/>
      </c>
      <c r="D32" s="38"/>
      <c r="E32" s="42"/>
      <c r="F32" s="52"/>
      <c r="G32" s="57"/>
      <c r="H32" s="38"/>
      <c r="I32" s="38"/>
      <c r="J32" s="48"/>
      <c r="K32" s="49"/>
      <c r="M32" s="25">
        <f t="shared" si="5"/>
        <v>0</v>
      </c>
      <c r="N32" s="25" t="str">
        <f t="shared" si="20"/>
        <v/>
      </c>
      <c r="O32" s="26" t="str">
        <f t="shared" si="6"/>
        <v/>
      </c>
      <c r="P32" s="26">
        <f t="shared" si="7"/>
        <v>0</v>
      </c>
      <c r="Q32" s="20" t="s">
        <v>41</v>
      </c>
      <c r="R32" s="20">
        <f t="shared" si="1"/>
        <v>0</v>
      </c>
      <c r="S32" s="20">
        <f t="shared" si="2"/>
        <v>0</v>
      </c>
      <c r="T32" s="20">
        <f t="shared" si="8"/>
        <v>0</v>
      </c>
      <c r="U32" s="20">
        <f t="shared" si="9"/>
        <v>0</v>
      </c>
      <c r="V32" s="20" t="str">
        <f t="shared" si="10"/>
        <v/>
      </c>
      <c r="W32" s="20" t="str">
        <f t="shared" si="3"/>
        <v/>
      </c>
      <c r="X32" s="20" t="str">
        <f t="shared" si="11"/>
        <v/>
      </c>
      <c r="Y32">
        <f t="shared" si="12"/>
        <v>0</v>
      </c>
      <c r="Z32">
        <f t="shared" si="13"/>
        <v>0</v>
      </c>
      <c r="AA32" s="14" t="b">
        <f t="shared" si="4"/>
        <v>0</v>
      </c>
      <c r="AB32" s="28" t="str">
        <f t="shared" si="14"/>
        <v/>
      </c>
      <c r="AC32" s="20" t="str">
        <f t="shared" si="15"/>
        <v/>
      </c>
      <c r="AD32" s="20" t="str">
        <f t="shared" si="16"/>
        <v/>
      </c>
    </row>
    <row r="33" spans="1:30" ht="15" customHeight="1">
      <c r="A33" s="54"/>
      <c r="B33" s="60"/>
      <c r="C33" s="33" t="str">
        <f t="shared" ref="C33" si="47">IF(OR(LEN(C32)&lt;1,LEN(D33)&lt;1),"","D")</f>
        <v/>
      </c>
      <c r="D33" s="38"/>
      <c r="E33" s="42"/>
      <c r="F33" s="52"/>
      <c r="G33" s="57"/>
      <c r="H33" s="38"/>
      <c r="I33" s="38"/>
      <c r="J33" s="48"/>
      <c r="K33" s="49"/>
      <c r="M33" s="25">
        <f t="shared" si="5"/>
        <v>0</v>
      </c>
      <c r="N33" s="25" t="str">
        <f t="shared" si="20"/>
        <v/>
      </c>
      <c r="O33" s="26" t="str">
        <f t="shared" si="6"/>
        <v/>
      </c>
      <c r="P33" s="26">
        <f t="shared" si="7"/>
        <v>0</v>
      </c>
      <c r="Q33" s="20" t="s">
        <v>41</v>
      </c>
      <c r="R33" s="20">
        <f t="shared" si="1"/>
        <v>0</v>
      </c>
      <c r="S33" s="20">
        <f t="shared" si="2"/>
        <v>0</v>
      </c>
      <c r="T33" s="20">
        <f t="shared" si="8"/>
        <v>0</v>
      </c>
      <c r="U33" s="20">
        <f t="shared" si="9"/>
        <v>0</v>
      </c>
      <c r="V33" s="20" t="str">
        <f t="shared" si="10"/>
        <v/>
      </c>
      <c r="W33" s="20" t="str">
        <f t="shared" si="3"/>
        <v/>
      </c>
      <c r="X33" s="20" t="str">
        <f t="shared" si="11"/>
        <v/>
      </c>
      <c r="Y33">
        <f t="shared" si="12"/>
        <v>0</v>
      </c>
      <c r="Z33">
        <f t="shared" si="13"/>
        <v>0</v>
      </c>
      <c r="AA33" s="14" t="b">
        <f t="shared" si="4"/>
        <v>0</v>
      </c>
      <c r="AB33" s="28" t="str">
        <f t="shared" si="14"/>
        <v/>
      </c>
      <c r="AC33" s="20" t="str">
        <f t="shared" si="15"/>
        <v/>
      </c>
      <c r="AD33" s="20" t="str">
        <f t="shared" si="16"/>
        <v/>
      </c>
    </row>
    <row r="34" spans="1:30" ht="15.75" customHeight="1" thickBot="1">
      <c r="A34" s="55"/>
      <c r="B34" s="61"/>
      <c r="C34" s="36" t="str">
        <f t="shared" ref="C34" si="48">IF(OR(LEN(C33)&lt;1,LEN(D34)&lt;1),"","E")</f>
        <v/>
      </c>
      <c r="D34" s="39"/>
      <c r="E34" s="43"/>
      <c r="F34" s="53"/>
      <c r="G34" s="58"/>
      <c r="H34" s="39"/>
      <c r="I34" s="39"/>
      <c r="J34" s="39"/>
      <c r="K34" s="50"/>
      <c r="M34" s="25">
        <f t="shared" si="5"/>
        <v>0</v>
      </c>
      <c r="N34" s="25" t="str">
        <f t="shared" si="20"/>
        <v/>
      </c>
      <c r="O34" s="26" t="str">
        <f t="shared" si="6"/>
        <v/>
      </c>
      <c r="P34" s="26">
        <f t="shared" si="7"/>
        <v>0</v>
      </c>
      <c r="Q34" s="20" t="s">
        <v>41</v>
      </c>
      <c r="R34" s="20">
        <f t="shared" si="1"/>
        <v>0</v>
      </c>
      <c r="S34" s="20">
        <f t="shared" si="2"/>
        <v>0</v>
      </c>
      <c r="T34" s="20">
        <f t="shared" si="8"/>
        <v>0</v>
      </c>
      <c r="U34" s="20">
        <f t="shared" si="9"/>
        <v>0</v>
      </c>
      <c r="V34" s="20" t="str">
        <f t="shared" si="10"/>
        <v/>
      </c>
      <c r="W34" s="20" t="str">
        <f t="shared" si="3"/>
        <v/>
      </c>
      <c r="X34" s="20" t="str">
        <f t="shared" si="11"/>
        <v/>
      </c>
      <c r="Y34">
        <f t="shared" si="12"/>
        <v>0</v>
      </c>
      <c r="Z34">
        <f t="shared" si="13"/>
        <v>0</v>
      </c>
      <c r="AA34" s="14" t="b">
        <f t="shared" si="4"/>
        <v>0</v>
      </c>
      <c r="AB34" s="28" t="str">
        <f t="shared" si="14"/>
        <v/>
      </c>
      <c r="AC34" s="20" t="str">
        <f t="shared" si="15"/>
        <v/>
      </c>
      <c r="AD34" s="20" t="str">
        <f t="shared" si="16"/>
        <v/>
      </c>
    </row>
    <row r="35" spans="1:30" ht="15" customHeight="1">
      <c r="A35" s="54"/>
      <c r="B35" s="59" t="str">
        <f t="shared" ref="B35" si="49">IF(LEN(A35)&lt;1,"",IF(ISBLANK(B29),"",B29+1))</f>
        <v/>
      </c>
      <c r="C35" s="35" t="str">
        <f t="shared" ref="C35" si="50">IF(ISBLANK(A35),"",IF(A35="Uraian Panjang","Teks Uraian","Teks Soal"))</f>
        <v/>
      </c>
      <c r="D35" s="40"/>
      <c r="E35" s="41"/>
      <c r="F35" s="52" t="str">
        <f t="shared" ref="F35" si="51">IF(ISBLANK(A35),"",IF(A35="Pilihan Ganda","Centang salah satu jawaban disamping pada kolom KUNCI",IF(A35="Jawaban Jamak","Centang beberapa jawaban disamping pada kolom KUNCI",IF(A35="Uraian Panjang","Pastikan tidak ada jawaban yang tercentang pada kolom KUNCI",IF(A35="Esai Koreksi Otomatis","Kunci jawaban adalah teks opsi dan centang opsi tersebut pada kolom KUNCI","ISIKAN JODOHNYA PADA KOLOM KUNCI")))))</f>
        <v/>
      </c>
      <c r="G35" s="56" t="str">
        <f>IF(LEN(A35)&lt;1,"",IF(AA35=FALSE,"Ada kesalahan, mohon perhatikan kolom KETERANGAN",""))</f>
        <v/>
      </c>
      <c r="H35" s="40"/>
      <c r="I35" s="40"/>
      <c r="J35" s="46"/>
      <c r="K35" s="47"/>
      <c r="M35" s="25">
        <f t="shared" si="5"/>
        <v>0</v>
      </c>
      <c r="N35" s="25" t="str">
        <f t="shared" si="20"/>
        <v/>
      </c>
      <c r="O35" s="26" t="str">
        <f t="shared" si="6"/>
        <v/>
      </c>
      <c r="P35" s="26">
        <f t="shared" si="7"/>
        <v>0</v>
      </c>
      <c r="Q35" s="20" t="s">
        <v>41</v>
      </c>
      <c r="R35" s="20">
        <f t="shared" si="1"/>
        <v>0</v>
      </c>
      <c r="S35" s="20">
        <f t="shared" si="2"/>
        <v>0</v>
      </c>
      <c r="T35" s="20">
        <f t="shared" si="8"/>
        <v>0</v>
      </c>
      <c r="U35" s="20">
        <f t="shared" si="9"/>
        <v>0</v>
      </c>
      <c r="V35" s="20" t="str">
        <f t="shared" si="10"/>
        <v/>
      </c>
      <c r="W35" s="20" t="str">
        <f t="shared" si="3"/>
        <v/>
      </c>
      <c r="X35" s="20" t="str">
        <f t="shared" si="11"/>
        <v/>
      </c>
      <c r="Y35">
        <f t="shared" si="12"/>
        <v>0</v>
      </c>
      <c r="Z35">
        <f t="shared" si="13"/>
        <v>0</v>
      </c>
      <c r="AA35" s="14" t="b">
        <f t="shared" si="4"/>
        <v>0</v>
      </c>
      <c r="AB35" s="28" t="str">
        <f t="shared" si="14"/>
        <v/>
      </c>
      <c r="AC35" s="20" t="str">
        <f t="shared" si="15"/>
        <v/>
      </c>
      <c r="AD35" s="20" t="str">
        <f t="shared" si="16"/>
        <v/>
      </c>
    </row>
    <row r="36" spans="1:30" ht="15" customHeight="1">
      <c r="A36" s="54"/>
      <c r="B36" s="60"/>
      <c r="C36" s="33" t="str">
        <f t="shared" ref="C36" si="52">IF(C35="Teks Uraian","",IF(OR(LEN(C35)&lt;1,LEN(D36)&lt;1),"","A"))</f>
        <v/>
      </c>
      <c r="D36" s="38"/>
      <c r="E36" s="42"/>
      <c r="F36" s="52"/>
      <c r="G36" s="57"/>
      <c r="H36" s="38"/>
      <c r="I36" s="38"/>
      <c r="J36" s="48"/>
      <c r="K36" s="49"/>
      <c r="M36" s="25">
        <f t="shared" si="5"/>
        <v>0</v>
      </c>
      <c r="N36" s="25" t="str">
        <f t="shared" si="20"/>
        <v/>
      </c>
      <c r="O36" s="26" t="str">
        <f t="shared" si="6"/>
        <v/>
      </c>
      <c r="P36" s="26">
        <f t="shared" si="7"/>
        <v>0</v>
      </c>
      <c r="Q36" s="20" t="s">
        <v>41</v>
      </c>
      <c r="R36" s="20">
        <f t="shared" si="1"/>
        <v>0</v>
      </c>
      <c r="S36" s="20">
        <f t="shared" si="2"/>
        <v>0</v>
      </c>
      <c r="T36" s="20">
        <f t="shared" si="8"/>
        <v>0</v>
      </c>
      <c r="U36" s="20">
        <f t="shared" si="9"/>
        <v>0</v>
      </c>
      <c r="V36" s="20" t="str">
        <f t="shared" si="10"/>
        <v/>
      </c>
      <c r="W36" s="20" t="str">
        <f t="shared" si="3"/>
        <v/>
      </c>
      <c r="X36" s="20" t="str">
        <f t="shared" si="11"/>
        <v/>
      </c>
      <c r="Y36">
        <f t="shared" si="12"/>
        <v>0</v>
      </c>
      <c r="Z36">
        <f t="shared" si="13"/>
        <v>0</v>
      </c>
      <c r="AA36" s="14" t="b">
        <f t="shared" si="4"/>
        <v>0</v>
      </c>
      <c r="AB36" s="28" t="str">
        <f t="shared" si="14"/>
        <v/>
      </c>
      <c r="AC36" s="20" t="str">
        <f t="shared" si="15"/>
        <v/>
      </c>
      <c r="AD36" s="20" t="str">
        <f t="shared" si="16"/>
        <v/>
      </c>
    </row>
    <row r="37" spans="1:30" ht="15" customHeight="1">
      <c r="A37" s="54"/>
      <c r="B37" s="60"/>
      <c r="C37" s="33" t="str">
        <f t="shared" ref="C37" si="53">IF(OR(LEN(C36)&lt;1,LEN(D36)&lt;1),"","B")</f>
        <v/>
      </c>
      <c r="D37" s="38"/>
      <c r="E37" s="44"/>
      <c r="F37" s="52"/>
      <c r="G37" s="57"/>
      <c r="H37" s="38"/>
      <c r="I37" s="38"/>
      <c r="J37" s="48"/>
      <c r="K37" s="49"/>
      <c r="M37" s="25">
        <f t="shared" si="5"/>
        <v>0</v>
      </c>
      <c r="N37" s="25" t="str">
        <f t="shared" si="20"/>
        <v/>
      </c>
      <c r="O37" s="26" t="str">
        <f t="shared" si="6"/>
        <v/>
      </c>
      <c r="P37" s="26">
        <f t="shared" si="7"/>
        <v>0</v>
      </c>
      <c r="Q37" s="20" t="s">
        <v>41</v>
      </c>
      <c r="R37" s="20">
        <f t="shared" si="1"/>
        <v>0</v>
      </c>
      <c r="S37" s="20">
        <f t="shared" si="2"/>
        <v>0</v>
      </c>
      <c r="T37" s="20">
        <f t="shared" si="8"/>
        <v>0</v>
      </c>
      <c r="U37" s="20">
        <f t="shared" si="9"/>
        <v>0</v>
      </c>
      <c r="V37" s="20" t="str">
        <f t="shared" si="10"/>
        <v/>
      </c>
      <c r="W37" s="20" t="str">
        <f t="shared" si="3"/>
        <v/>
      </c>
      <c r="X37" s="20" t="str">
        <f t="shared" si="11"/>
        <v/>
      </c>
      <c r="Y37">
        <f t="shared" si="12"/>
        <v>0</v>
      </c>
      <c r="Z37">
        <f t="shared" si="13"/>
        <v>0</v>
      </c>
      <c r="AA37" s="14" t="b">
        <f t="shared" si="4"/>
        <v>0</v>
      </c>
      <c r="AB37" s="28" t="str">
        <f t="shared" si="14"/>
        <v/>
      </c>
      <c r="AC37" s="20" t="str">
        <f t="shared" si="15"/>
        <v/>
      </c>
      <c r="AD37" s="20" t="str">
        <f t="shared" si="16"/>
        <v/>
      </c>
    </row>
    <row r="38" spans="1:30" ht="15" customHeight="1">
      <c r="A38" s="54"/>
      <c r="B38" s="60"/>
      <c r="C38" s="33" t="str">
        <f t="shared" ref="C38" si="54">IF(OR(LEN(C37)&lt;1,LEN(D38)&lt;1),"","C")</f>
        <v/>
      </c>
      <c r="D38" s="38"/>
      <c r="E38" s="42"/>
      <c r="F38" s="52"/>
      <c r="G38" s="57"/>
      <c r="H38" s="38"/>
      <c r="I38" s="38"/>
      <c r="J38" s="48"/>
      <c r="K38" s="49"/>
      <c r="M38" s="25">
        <f t="shared" si="5"/>
        <v>0</v>
      </c>
      <c r="N38" s="25" t="str">
        <f t="shared" si="20"/>
        <v/>
      </c>
      <c r="O38" s="26" t="str">
        <f t="shared" si="6"/>
        <v/>
      </c>
      <c r="P38" s="26">
        <f t="shared" si="7"/>
        <v>0</v>
      </c>
      <c r="Q38" s="20" t="s">
        <v>41</v>
      </c>
      <c r="R38" s="20">
        <f t="shared" si="1"/>
        <v>0</v>
      </c>
      <c r="S38" s="20">
        <f t="shared" si="2"/>
        <v>0</v>
      </c>
      <c r="T38" s="20">
        <f t="shared" si="8"/>
        <v>0</v>
      </c>
      <c r="U38" s="20">
        <f t="shared" si="9"/>
        <v>0</v>
      </c>
      <c r="V38" s="20" t="str">
        <f t="shared" si="10"/>
        <v/>
      </c>
      <c r="W38" s="20" t="str">
        <f t="shared" si="3"/>
        <v/>
      </c>
      <c r="X38" s="20" t="str">
        <f t="shared" si="11"/>
        <v/>
      </c>
      <c r="Y38">
        <f t="shared" si="12"/>
        <v>0</v>
      </c>
      <c r="Z38">
        <f t="shared" si="13"/>
        <v>0</v>
      </c>
      <c r="AA38" s="14" t="b">
        <f t="shared" si="4"/>
        <v>0</v>
      </c>
      <c r="AB38" s="28" t="str">
        <f t="shared" si="14"/>
        <v/>
      </c>
      <c r="AC38" s="20" t="str">
        <f t="shared" si="15"/>
        <v/>
      </c>
      <c r="AD38" s="20" t="str">
        <f t="shared" si="16"/>
        <v/>
      </c>
    </row>
    <row r="39" spans="1:30" ht="15" customHeight="1">
      <c r="A39" s="54"/>
      <c r="B39" s="60"/>
      <c r="C39" s="33" t="str">
        <f t="shared" ref="C39" si="55">IF(OR(LEN(C38)&lt;1,LEN(D39)&lt;1),"","D")</f>
        <v/>
      </c>
      <c r="D39" s="38"/>
      <c r="E39" s="44"/>
      <c r="F39" s="52"/>
      <c r="G39" s="57"/>
      <c r="H39" s="38"/>
      <c r="I39" s="38"/>
      <c r="J39" s="48"/>
      <c r="K39" s="49"/>
      <c r="M39" s="25">
        <f t="shared" si="5"/>
        <v>0</v>
      </c>
      <c r="N39" s="25" t="str">
        <f t="shared" si="20"/>
        <v/>
      </c>
      <c r="O39" s="26" t="str">
        <f t="shared" si="6"/>
        <v/>
      </c>
      <c r="P39" s="26">
        <f t="shared" si="7"/>
        <v>0</v>
      </c>
      <c r="Q39" s="20" t="s">
        <v>41</v>
      </c>
      <c r="R39" s="20">
        <f t="shared" si="1"/>
        <v>0</v>
      </c>
      <c r="S39" s="20">
        <f t="shared" si="2"/>
        <v>0</v>
      </c>
      <c r="T39" s="20">
        <f t="shared" si="8"/>
        <v>0</v>
      </c>
      <c r="U39" s="20">
        <f t="shared" si="9"/>
        <v>0</v>
      </c>
      <c r="V39" s="20" t="str">
        <f t="shared" si="10"/>
        <v/>
      </c>
      <c r="W39" s="20" t="str">
        <f t="shared" si="3"/>
        <v/>
      </c>
      <c r="X39" s="20" t="str">
        <f t="shared" si="11"/>
        <v/>
      </c>
      <c r="Y39">
        <f t="shared" si="12"/>
        <v>0</v>
      </c>
      <c r="Z39">
        <f t="shared" si="13"/>
        <v>0</v>
      </c>
      <c r="AA39" s="14" t="b">
        <f t="shared" si="4"/>
        <v>0</v>
      </c>
      <c r="AB39" s="28" t="str">
        <f t="shared" si="14"/>
        <v/>
      </c>
      <c r="AC39" s="20" t="str">
        <f t="shared" si="15"/>
        <v/>
      </c>
      <c r="AD39" s="20" t="str">
        <f t="shared" si="16"/>
        <v/>
      </c>
    </row>
    <row r="40" spans="1:30" ht="15.75" customHeight="1" thickBot="1">
      <c r="A40" s="55"/>
      <c r="B40" s="61"/>
      <c r="C40" s="36" t="str">
        <f t="shared" ref="C40" si="56">IF(OR(LEN(C39)&lt;1,LEN(D40)&lt;1),"","E")</f>
        <v/>
      </c>
      <c r="D40" s="39"/>
      <c r="E40" s="45"/>
      <c r="F40" s="53"/>
      <c r="G40" s="58"/>
      <c r="H40" s="39"/>
      <c r="I40" s="39"/>
      <c r="J40" s="39"/>
      <c r="K40" s="50"/>
      <c r="M40" s="25">
        <f t="shared" si="5"/>
        <v>0</v>
      </c>
      <c r="N40" s="25" t="str">
        <f t="shared" si="20"/>
        <v/>
      </c>
      <c r="O40" s="26" t="str">
        <f t="shared" si="6"/>
        <v/>
      </c>
      <c r="P40" s="26">
        <f t="shared" si="7"/>
        <v>0</v>
      </c>
      <c r="Q40" s="20" t="s">
        <v>41</v>
      </c>
      <c r="R40" s="20">
        <f t="shared" si="1"/>
        <v>0</v>
      </c>
      <c r="S40" s="20">
        <f t="shared" si="2"/>
        <v>0</v>
      </c>
      <c r="T40" s="20">
        <f t="shared" si="8"/>
        <v>0</v>
      </c>
      <c r="U40" s="20">
        <f t="shared" si="9"/>
        <v>0</v>
      </c>
      <c r="V40" s="20" t="str">
        <f t="shared" si="10"/>
        <v/>
      </c>
      <c r="W40" s="20" t="str">
        <f t="shared" si="3"/>
        <v/>
      </c>
      <c r="X40" s="20" t="str">
        <f t="shared" si="11"/>
        <v/>
      </c>
      <c r="Y40">
        <f t="shared" si="12"/>
        <v>0</v>
      </c>
      <c r="Z40">
        <f t="shared" si="13"/>
        <v>0</v>
      </c>
      <c r="AA40" s="14" t="b">
        <f t="shared" si="4"/>
        <v>0</v>
      </c>
      <c r="AB40" s="28" t="str">
        <f t="shared" si="14"/>
        <v/>
      </c>
      <c r="AC40" s="20" t="str">
        <f t="shared" si="15"/>
        <v/>
      </c>
      <c r="AD40" s="20" t="str">
        <f t="shared" si="16"/>
        <v/>
      </c>
    </row>
    <row r="41" spans="1:30" ht="15" customHeight="1">
      <c r="A41" s="54"/>
      <c r="B41" s="59" t="str">
        <f t="shared" ref="B41" si="57">IF(LEN(A41)&lt;1,"",IF(ISBLANK(B35),"",B35+1))</f>
        <v/>
      </c>
      <c r="C41" s="35" t="str">
        <f t="shared" ref="C41" si="58">IF(ISBLANK(A41),"",IF(A41="Uraian Panjang","Teks Uraian","Teks Soal"))</f>
        <v/>
      </c>
      <c r="D41" s="40"/>
      <c r="E41" s="41"/>
      <c r="F41" s="52" t="str">
        <f t="shared" ref="F41" si="59">IF(ISBLANK(A41),"",IF(A41="Pilihan Ganda","Centang salah satu jawaban disamping pada kolom KUNCI",IF(A41="Jawaban Jamak","Centang beberapa jawaban disamping pada kolom KUNCI",IF(A41="Uraian Panjang","Pastikan tidak ada jawaban yang tercentang pada kolom KUNCI",IF(A41="Esai Koreksi Otomatis","Kunci jawaban adalah teks opsi dan centang opsi tersebut pada kolom KUNCI","ISIKAN JODOHNYA PADA KOLOM KUNCI")))))</f>
        <v/>
      </c>
      <c r="G41" s="56" t="str">
        <f>IF(LEN(A41)&lt;1,"",IF(AA41=FALSE,"Ada kesalahan, mohon perhatikan kolom KETERANGAN",""))</f>
        <v/>
      </c>
      <c r="H41" s="40"/>
      <c r="I41" s="40"/>
      <c r="J41" s="46"/>
      <c r="K41" s="47"/>
      <c r="M41" s="25">
        <f t="shared" si="5"/>
        <v>0</v>
      </c>
      <c r="N41" s="25" t="str">
        <f t="shared" si="20"/>
        <v/>
      </c>
      <c r="O41" s="26" t="str">
        <f t="shared" si="6"/>
        <v/>
      </c>
      <c r="P41" s="26">
        <f t="shared" si="7"/>
        <v>0</v>
      </c>
      <c r="Q41" s="20" t="s">
        <v>41</v>
      </c>
      <c r="R41" s="20">
        <f t="shared" si="1"/>
        <v>0</v>
      </c>
      <c r="S41" s="20">
        <f t="shared" si="2"/>
        <v>0</v>
      </c>
      <c r="T41" s="20">
        <f t="shared" si="8"/>
        <v>0</v>
      </c>
      <c r="U41" s="20">
        <f t="shared" si="9"/>
        <v>0</v>
      </c>
      <c r="V41" s="20" t="str">
        <f t="shared" si="10"/>
        <v/>
      </c>
      <c r="W41" s="20" t="str">
        <f t="shared" si="3"/>
        <v/>
      </c>
      <c r="X41" s="20" t="str">
        <f t="shared" si="11"/>
        <v/>
      </c>
      <c r="Y41">
        <f t="shared" si="12"/>
        <v>0</v>
      </c>
      <c r="Z41">
        <f t="shared" si="13"/>
        <v>0</v>
      </c>
      <c r="AA41" s="14" t="b">
        <f t="shared" si="4"/>
        <v>0</v>
      </c>
      <c r="AB41" s="28" t="str">
        <f t="shared" si="14"/>
        <v/>
      </c>
      <c r="AC41" s="20" t="str">
        <f t="shared" si="15"/>
        <v/>
      </c>
      <c r="AD41" s="20" t="str">
        <f t="shared" si="16"/>
        <v/>
      </c>
    </row>
    <row r="42" spans="1:30" ht="15" customHeight="1">
      <c r="A42" s="54"/>
      <c r="B42" s="60"/>
      <c r="C42" s="33" t="str">
        <f t="shared" ref="C42" si="60">IF(C41="Teks Uraian","",IF(OR(LEN(C41)&lt;1,LEN(D42)&lt;1),"","A"))</f>
        <v/>
      </c>
      <c r="D42" s="38"/>
      <c r="E42" s="44"/>
      <c r="F42" s="52"/>
      <c r="G42" s="57"/>
      <c r="H42" s="38"/>
      <c r="I42" s="38"/>
      <c r="J42" s="48"/>
      <c r="K42" s="49"/>
      <c r="M42" s="25">
        <f t="shared" si="5"/>
        <v>0</v>
      </c>
      <c r="N42" s="25" t="str">
        <f t="shared" si="20"/>
        <v/>
      </c>
      <c r="O42" s="26" t="str">
        <f t="shared" si="6"/>
        <v/>
      </c>
      <c r="P42" s="26">
        <f t="shared" si="7"/>
        <v>0</v>
      </c>
      <c r="Q42" s="20" t="s">
        <v>41</v>
      </c>
      <c r="R42" s="20">
        <f t="shared" si="1"/>
        <v>0</v>
      </c>
      <c r="S42" s="20">
        <f t="shared" si="2"/>
        <v>0</v>
      </c>
      <c r="T42" s="20">
        <f t="shared" si="8"/>
        <v>0</v>
      </c>
      <c r="U42" s="20">
        <f t="shared" si="9"/>
        <v>0</v>
      </c>
      <c r="V42" s="20" t="str">
        <f t="shared" si="10"/>
        <v/>
      </c>
      <c r="W42" s="20" t="str">
        <f t="shared" si="3"/>
        <v/>
      </c>
      <c r="X42" s="20" t="str">
        <f t="shared" si="11"/>
        <v/>
      </c>
      <c r="Y42">
        <f t="shared" si="12"/>
        <v>0</v>
      </c>
      <c r="Z42">
        <f t="shared" si="13"/>
        <v>0</v>
      </c>
      <c r="AA42" s="14" t="b">
        <f t="shared" si="4"/>
        <v>0</v>
      </c>
      <c r="AB42" s="28" t="str">
        <f t="shared" si="14"/>
        <v/>
      </c>
      <c r="AC42" s="20" t="str">
        <f t="shared" si="15"/>
        <v/>
      </c>
      <c r="AD42" s="20" t="str">
        <f t="shared" si="16"/>
        <v/>
      </c>
    </row>
    <row r="43" spans="1:30" ht="15" customHeight="1">
      <c r="A43" s="54"/>
      <c r="B43" s="60"/>
      <c r="C43" s="33" t="str">
        <f t="shared" ref="C43" si="61">IF(OR(LEN(C42)&lt;1,LEN(D42)&lt;1),"","B")</f>
        <v/>
      </c>
      <c r="D43" s="38"/>
      <c r="E43" s="44"/>
      <c r="F43" s="52"/>
      <c r="G43" s="57"/>
      <c r="H43" s="38"/>
      <c r="I43" s="38"/>
      <c r="J43" s="48"/>
      <c r="K43" s="49"/>
      <c r="M43" s="25">
        <f t="shared" si="5"/>
        <v>0</v>
      </c>
      <c r="N43" s="25" t="str">
        <f t="shared" si="20"/>
        <v/>
      </c>
      <c r="O43" s="26" t="str">
        <f t="shared" si="6"/>
        <v/>
      </c>
      <c r="P43" s="26">
        <f t="shared" si="7"/>
        <v>0</v>
      </c>
      <c r="Q43" s="20" t="s">
        <v>41</v>
      </c>
      <c r="R43" s="20">
        <f t="shared" si="1"/>
        <v>0</v>
      </c>
      <c r="S43" s="20">
        <f t="shared" si="2"/>
        <v>0</v>
      </c>
      <c r="T43" s="20">
        <f t="shared" si="8"/>
        <v>0</v>
      </c>
      <c r="U43" s="20">
        <f t="shared" si="9"/>
        <v>0</v>
      </c>
      <c r="V43" s="20" t="str">
        <f t="shared" si="10"/>
        <v/>
      </c>
      <c r="W43" s="20" t="str">
        <f t="shared" si="3"/>
        <v/>
      </c>
      <c r="X43" s="20" t="str">
        <f t="shared" si="11"/>
        <v/>
      </c>
      <c r="Y43">
        <f t="shared" si="12"/>
        <v>0</v>
      </c>
      <c r="Z43">
        <f t="shared" si="13"/>
        <v>0</v>
      </c>
      <c r="AA43" s="14" t="b">
        <f t="shared" si="4"/>
        <v>0</v>
      </c>
      <c r="AB43" s="28" t="str">
        <f t="shared" si="14"/>
        <v/>
      </c>
      <c r="AC43" s="20" t="str">
        <f t="shared" si="15"/>
        <v/>
      </c>
      <c r="AD43" s="20" t="str">
        <f t="shared" si="16"/>
        <v/>
      </c>
    </row>
    <row r="44" spans="1:30" ht="15" customHeight="1">
      <c r="A44" s="54"/>
      <c r="B44" s="60"/>
      <c r="C44" s="33" t="str">
        <f t="shared" ref="C44" si="62">IF(OR(LEN(C43)&lt;1,LEN(D44)&lt;1),"","C")</f>
        <v/>
      </c>
      <c r="D44" s="38"/>
      <c r="E44" s="42"/>
      <c r="F44" s="52"/>
      <c r="G44" s="57"/>
      <c r="H44" s="38"/>
      <c r="I44" s="38"/>
      <c r="J44" s="48"/>
      <c r="K44" s="49"/>
      <c r="M44" s="25">
        <f t="shared" si="5"/>
        <v>0</v>
      </c>
      <c r="N44" s="25" t="str">
        <f t="shared" si="20"/>
        <v/>
      </c>
      <c r="O44" s="26" t="str">
        <f t="shared" si="6"/>
        <v/>
      </c>
      <c r="P44" s="26">
        <f t="shared" si="7"/>
        <v>0</v>
      </c>
      <c r="Q44" s="20" t="s">
        <v>41</v>
      </c>
      <c r="R44" s="20">
        <f t="shared" si="1"/>
        <v>0</v>
      </c>
      <c r="S44" s="20">
        <f t="shared" si="2"/>
        <v>0</v>
      </c>
      <c r="T44" s="20">
        <f t="shared" si="8"/>
        <v>0</v>
      </c>
      <c r="U44" s="20">
        <f t="shared" si="9"/>
        <v>0</v>
      </c>
      <c r="V44" s="20" t="str">
        <f t="shared" si="10"/>
        <v/>
      </c>
      <c r="W44" s="20" t="str">
        <f t="shared" si="3"/>
        <v/>
      </c>
      <c r="X44" s="20" t="str">
        <f t="shared" si="11"/>
        <v/>
      </c>
      <c r="Y44">
        <f t="shared" si="12"/>
        <v>0</v>
      </c>
      <c r="Z44">
        <f t="shared" si="13"/>
        <v>0</v>
      </c>
      <c r="AA44" s="14" t="b">
        <f t="shared" si="4"/>
        <v>0</v>
      </c>
      <c r="AB44" s="28" t="str">
        <f t="shared" si="14"/>
        <v/>
      </c>
      <c r="AC44" s="20" t="str">
        <f t="shared" si="15"/>
        <v/>
      </c>
      <c r="AD44" s="20" t="str">
        <f t="shared" si="16"/>
        <v/>
      </c>
    </row>
    <row r="45" spans="1:30" ht="15" customHeight="1">
      <c r="A45" s="54"/>
      <c r="B45" s="60"/>
      <c r="C45" s="33" t="str">
        <f t="shared" ref="C45" si="63">IF(OR(LEN(C44)&lt;1,LEN(D45)&lt;1),"","D")</f>
        <v/>
      </c>
      <c r="D45" s="38"/>
      <c r="E45" s="44"/>
      <c r="F45" s="52"/>
      <c r="G45" s="57"/>
      <c r="H45" s="38"/>
      <c r="I45" s="38"/>
      <c r="J45" s="48"/>
      <c r="K45" s="49"/>
      <c r="M45" s="25">
        <f t="shared" si="5"/>
        <v>0</v>
      </c>
      <c r="N45" s="25" t="str">
        <f t="shared" si="20"/>
        <v/>
      </c>
      <c r="O45" s="26" t="str">
        <f t="shared" si="6"/>
        <v/>
      </c>
      <c r="P45" s="26">
        <f t="shared" si="7"/>
        <v>0</v>
      </c>
      <c r="Q45" s="20" t="s">
        <v>41</v>
      </c>
      <c r="R45" s="20">
        <f t="shared" si="1"/>
        <v>0</v>
      </c>
      <c r="S45" s="20">
        <f t="shared" si="2"/>
        <v>0</v>
      </c>
      <c r="T45" s="20">
        <f t="shared" si="8"/>
        <v>0</v>
      </c>
      <c r="U45" s="20">
        <f t="shared" si="9"/>
        <v>0</v>
      </c>
      <c r="V45" s="20" t="str">
        <f t="shared" si="10"/>
        <v/>
      </c>
      <c r="W45" s="20" t="str">
        <f t="shared" si="3"/>
        <v/>
      </c>
      <c r="X45" s="20" t="str">
        <f t="shared" si="11"/>
        <v/>
      </c>
      <c r="Y45">
        <f t="shared" si="12"/>
        <v>0</v>
      </c>
      <c r="Z45">
        <f t="shared" si="13"/>
        <v>0</v>
      </c>
      <c r="AA45" s="14" t="b">
        <f t="shared" si="4"/>
        <v>0</v>
      </c>
      <c r="AB45" s="28" t="str">
        <f t="shared" si="14"/>
        <v/>
      </c>
      <c r="AC45" s="20" t="str">
        <f t="shared" si="15"/>
        <v/>
      </c>
      <c r="AD45" s="20" t="str">
        <f t="shared" si="16"/>
        <v/>
      </c>
    </row>
    <row r="46" spans="1:30" ht="15.75" customHeight="1" thickBot="1">
      <c r="A46" s="55"/>
      <c r="B46" s="61"/>
      <c r="C46" s="36" t="str">
        <f t="shared" ref="C46" si="64">IF(OR(LEN(C45)&lt;1,LEN(D46)&lt;1),"","E")</f>
        <v/>
      </c>
      <c r="D46" s="39"/>
      <c r="E46" s="45"/>
      <c r="F46" s="53"/>
      <c r="G46" s="58"/>
      <c r="H46" s="39"/>
      <c r="I46" s="39"/>
      <c r="J46" s="39"/>
      <c r="K46" s="50"/>
      <c r="M46" s="25">
        <f t="shared" si="5"/>
        <v>0</v>
      </c>
      <c r="N46" s="25" t="str">
        <f t="shared" si="20"/>
        <v/>
      </c>
      <c r="O46" s="26" t="str">
        <f t="shared" si="6"/>
        <v/>
      </c>
      <c r="P46" s="26">
        <f t="shared" si="7"/>
        <v>0</v>
      </c>
      <c r="Q46" s="20" t="s">
        <v>41</v>
      </c>
      <c r="R46" s="20">
        <f t="shared" si="1"/>
        <v>0</v>
      </c>
      <c r="S46" s="20">
        <f t="shared" si="2"/>
        <v>0</v>
      </c>
      <c r="T46" s="20">
        <f t="shared" si="8"/>
        <v>0</v>
      </c>
      <c r="U46" s="20">
        <f t="shared" si="9"/>
        <v>0</v>
      </c>
      <c r="V46" s="20" t="str">
        <f t="shared" si="10"/>
        <v/>
      </c>
      <c r="W46" s="20" t="str">
        <f t="shared" si="3"/>
        <v/>
      </c>
      <c r="X46" s="20" t="str">
        <f t="shared" si="11"/>
        <v/>
      </c>
      <c r="Y46">
        <f t="shared" si="12"/>
        <v>0</v>
      </c>
      <c r="Z46">
        <f t="shared" si="13"/>
        <v>0</v>
      </c>
      <c r="AA46" s="14" t="b">
        <f t="shared" si="4"/>
        <v>0</v>
      </c>
      <c r="AB46" s="28" t="str">
        <f t="shared" si="14"/>
        <v/>
      </c>
      <c r="AC46" s="20" t="str">
        <f t="shared" si="15"/>
        <v/>
      </c>
      <c r="AD46" s="20" t="str">
        <f t="shared" si="16"/>
        <v/>
      </c>
    </row>
    <row r="47" spans="1:30" ht="15" customHeight="1">
      <c r="A47" s="54"/>
      <c r="B47" s="59" t="str">
        <f t="shared" ref="B47" si="65">IF(LEN(A47)&lt;1,"",IF(ISBLANK(B41),"",B41+1))</f>
        <v/>
      </c>
      <c r="C47" s="35" t="str">
        <f t="shared" ref="C47" si="66">IF(ISBLANK(A47),"",IF(A47="Uraian Panjang","Teks Uraian","Teks Soal"))</f>
        <v/>
      </c>
      <c r="D47" s="40"/>
      <c r="E47" s="41"/>
      <c r="F47" s="52" t="str">
        <f t="shared" ref="F47" si="67">IF(ISBLANK(A47),"",IF(A47="Pilihan Ganda","Centang salah satu jawaban disamping pada kolom KUNCI",IF(A47="Jawaban Jamak","Centang beberapa jawaban disamping pada kolom KUNCI",IF(A47="Uraian Panjang","Pastikan tidak ada jawaban yang tercentang pada kolom KUNCI",IF(A47="Esai Koreksi Otomatis","Kunci jawaban adalah teks opsi dan centang opsi tersebut pada kolom KUNCI","ISIKAN JODOHNYA PADA KOLOM KUNCI")))))</f>
        <v/>
      </c>
      <c r="G47" s="56" t="str">
        <f>IF(LEN(A47)&lt;1,"",IF(AA47=FALSE,"Ada kesalahan, mohon perhatikan kolom KETERANGAN",""))</f>
        <v/>
      </c>
      <c r="H47" s="40"/>
      <c r="I47" s="40"/>
      <c r="J47" s="46"/>
      <c r="K47" s="47"/>
      <c r="M47" s="25">
        <f t="shared" si="5"/>
        <v>0</v>
      </c>
      <c r="N47" s="25" t="str">
        <f t="shared" si="20"/>
        <v/>
      </c>
      <c r="O47" s="26" t="str">
        <f t="shared" si="6"/>
        <v/>
      </c>
      <c r="P47" s="26">
        <f t="shared" si="7"/>
        <v>0</v>
      </c>
      <c r="Q47" s="20" t="s">
        <v>41</v>
      </c>
      <c r="R47" s="20">
        <f t="shared" si="1"/>
        <v>0</v>
      </c>
      <c r="S47" s="20">
        <f t="shared" si="2"/>
        <v>0</v>
      </c>
      <c r="T47" s="20">
        <f t="shared" si="8"/>
        <v>0</v>
      </c>
      <c r="U47" s="20">
        <f t="shared" si="9"/>
        <v>0</v>
      </c>
      <c r="V47" s="20" t="str">
        <f t="shared" si="10"/>
        <v/>
      </c>
      <c r="W47" s="20" t="str">
        <f t="shared" si="3"/>
        <v/>
      </c>
      <c r="X47" s="20" t="str">
        <f t="shared" si="11"/>
        <v/>
      </c>
      <c r="Y47">
        <f t="shared" si="12"/>
        <v>0</v>
      </c>
      <c r="Z47">
        <f t="shared" si="13"/>
        <v>0</v>
      </c>
      <c r="AA47" s="14" t="b">
        <f t="shared" si="4"/>
        <v>0</v>
      </c>
      <c r="AB47" s="28" t="str">
        <f t="shared" si="14"/>
        <v/>
      </c>
      <c r="AC47" s="20" t="str">
        <f t="shared" si="15"/>
        <v/>
      </c>
      <c r="AD47" s="20" t="str">
        <f t="shared" si="16"/>
        <v/>
      </c>
    </row>
    <row r="48" spans="1:30" ht="15" customHeight="1">
      <c r="A48" s="54"/>
      <c r="B48" s="60"/>
      <c r="C48" s="33" t="str">
        <f t="shared" ref="C48" si="68">IF(C47="Teks Uraian","",IF(OR(LEN(C47)&lt;1,LEN(D48)&lt;1),"","A"))</f>
        <v/>
      </c>
      <c r="D48" s="38"/>
      <c r="E48" s="44"/>
      <c r="F48" s="52"/>
      <c r="G48" s="57"/>
      <c r="H48" s="38"/>
      <c r="I48" s="38"/>
      <c r="J48" s="48"/>
      <c r="K48" s="49"/>
      <c r="M48" s="25">
        <f t="shared" si="5"/>
        <v>0</v>
      </c>
      <c r="N48" s="25" t="str">
        <f t="shared" si="20"/>
        <v/>
      </c>
      <c r="O48" s="26" t="str">
        <f t="shared" si="6"/>
        <v/>
      </c>
      <c r="P48" s="26">
        <f t="shared" si="7"/>
        <v>0</v>
      </c>
      <c r="Q48" s="20" t="s">
        <v>41</v>
      </c>
      <c r="R48" s="20">
        <f t="shared" si="1"/>
        <v>0</v>
      </c>
      <c r="S48" s="20">
        <f t="shared" si="2"/>
        <v>0</v>
      </c>
      <c r="T48" s="20">
        <f t="shared" si="8"/>
        <v>0</v>
      </c>
      <c r="U48" s="20">
        <f t="shared" si="9"/>
        <v>0</v>
      </c>
      <c r="V48" s="20" t="str">
        <f t="shared" si="10"/>
        <v/>
      </c>
      <c r="W48" s="20" t="str">
        <f t="shared" si="3"/>
        <v/>
      </c>
      <c r="X48" s="20" t="str">
        <f t="shared" si="11"/>
        <v/>
      </c>
      <c r="Y48">
        <f t="shared" si="12"/>
        <v>0</v>
      </c>
      <c r="Z48">
        <f t="shared" si="13"/>
        <v>0</v>
      </c>
      <c r="AA48" s="14" t="b">
        <f t="shared" si="4"/>
        <v>0</v>
      </c>
      <c r="AB48" s="28" t="str">
        <f t="shared" si="14"/>
        <v/>
      </c>
      <c r="AC48" s="20" t="str">
        <f t="shared" si="15"/>
        <v/>
      </c>
      <c r="AD48" s="20" t="str">
        <f t="shared" si="16"/>
        <v/>
      </c>
    </row>
    <row r="49" spans="1:30" ht="15" customHeight="1">
      <c r="A49" s="54"/>
      <c r="B49" s="60"/>
      <c r="C49" s="33" t="str">
        <f t="shared" ref="C49" si="69">IF(OR(LEN(C48)&lt;1,LEN(D48)&lt;1),"","B")</f>
        <v/>
      </c>
      <c r="D49" s="38"/>
      <c r="E49" s="44"/>
      <c r="F49" s="52"/>
      <c r="G49" s="57"/>
      <c r="H49" s="38"/>
      <c r="I49" s="38"/>
      <c r="J49" s="48"/>
      <c r="K49" s="49"/>
      <c r="M49" s="25">
        <f t="shared" si="5"/>
        <v>0</v>
      </c>
      <c r="N49" s="25" t="str">
        <f t="shared" si="20"/>
        <v/>
      </c>
      <c r="O49" s="26" t="str">
        <f t="shared" si="6"/>
        <v/>
      </c>
      <c r="P49" s="26">
        <f t="shared" si="7"/>
        <v>0</v>
      </c>
      <c r="Q49" s="20" t="s">
        <v>41</v>
      </c>
      <c r="R49" s="20">
        <f t="shared" si="1"/>
        <v>0</v>
      </c>
      <c r="S49" s="20">
        <f t="shared" si="2"/>
        <v>0</v>
      </c>
      <c r="T49" s="20">
        <f t="shared" si="8"/>
        <v>0</v>
      </c>
      <c r="U49" s="20">
        <f t="shared" si="9"/>
        <v>0</v>
      </c>
      <c r="V49" s="20" t="str">
        <f t="shared" si="10"/>
        <v/>
      </c>
      <c r="W49" s="20" t="str">
        <f t="shared" si="3"/>
        <v/>
      </c>
      <c r="X49" s="20" t="str">
        <f t="shared" si="11"/>
        <v/>
      </c>
      <c r="Y49">
        <f t="shared" si="12"/>
        <v>0</v>
      </c>
      <c r="Z49">
        <f t="shared" si="13"/>
        <v>0</v>
      </c>
      <c r="AA49" s="14" t="b">
        <f t="shared" si="4"/>
        <v>0</v>
      </c>
      <c r="AB49" s="28" t="str">
        <f t="shared" si="14"/>
        <v/>
      </c>
      <c r="AC49" s="20" t="str">
        <f t="shared" si="15"/>
        <v/>
      </c>
      <c r="AD49" s="20" t="str">
        <f t="shared" si="16"/>
        <v/>
      </c>
    </row>
    <row r="50" spans="1:30" ht="15" customHeight="1">
      <c r="A50" s="54"/>
      <c r="B50" s="60"/>
      <c r="C50" s="33" t="str">
        <f t="shared" ref="C50" si="70">IF(OR(LEN(C49)&lt;1,LEN(D50)&lt;1),"","C")</f>
        <v/>
      </c>
      <c r="D50" s="38"/>
      <c r="E50" s="42"/>
      <c r="F50" s="52"/>
      <c r="G50" s="57"/>
      <c r="H50" s="38"/>
      <c r="I50" s="38"/>
      <c r="J50" s="48"/>
      <c r="K50" s="49"/>
      <c r="M50" s="25">
        <f t="shared" si="5"/>
        <v>0</v>
      </c>
      <c r="N50" s="25" t="str">
        <f t="shared" si="20"/>
        <v/>
      </c>
      <c r="O50" s="26" t="str">
        <f t="shared" si="6"/>
        <v/>
      </c>
      <c r="P50" s="26">
        <f t="shared" si="7"/>
        <v>0</v>
      </c>
      <c r="Q50" s="20" t="s">
        <v>41</v>
      </c>
      <c r="R50" s="20">
        <f t="shared" si="1"/>
        <v>0</v>
      </c>
      <c r="S50" s="20">
        <f t="shared" si="2"/>
        <v>0</v>
      </c>
      <c r="T50" s="20">
        <f t="shared" si="8"/>
        <v>0</v>
      </c>
      <c r="U50" s="20">
        <f t="shared" si="9"/>
        <v>0</v>
      </c>
      <c r="V50" s="20" t="str">
        <f t="shared" si="10"/>
        <v/>
      </c>
      <c r="W50" s="20" t="str">
        <f t="shared" si="3"/>
        <v/>
      </c>
      <c r="X50" s="20" t="str">
        <f t="shared" si="11"/>
        <v/>
      </c>
      <c r="Y50">
        <f t="shared" si="12"/>
        <v>0</v>
      </c>
      <c r="Z50">
        <f t="shared" si="13"/>
        <v>0</v>
      </c>
      <c r="AA50" s="14" t="b">
        <f t="shared" si="4"/>
        <v>0</v>
      </c>
      <c r="AB50" s="28" t="str">
        <f t="shared" si="14"/>
        <v/>
      </c>
      <c r="AC50" s="20" t="str">
        <f t="shared" si="15"/>
        <v/>
      </c>
      <c r="AD50" s="20" t="str">
        <f t="shared" si="16"/>
        <v/>
      </c>
    </row>
    <row r="51" spans="1:30" ht="15" customHeight="1">
      <c r="A51" s="54"/>
      <c r="B51" s="60"/>
      <c r="C51" s="33" t="str">
        <f t="shared" ref="C51" si="71">IF(OR(LEN(C50)&lt;1,LEN(D51)&lt;1),"","D")</f>
        <v/>
      </c>
      <c r="D51" s="38"/>
      <c r="E51" s="44"/>
      <c r="F51" s="52"/>
      <c r="G51" s="57"/>
      <c r="H51" s="38"/>
      <c r="I51" s="38"/>
      <c r="J51" s="48"/>
      <c r="K51" s="49"/>
      <c r="M51" s="25">
        <f t="shared" si="5"/>
        <v>0</v>
      </c>
      <c r="N51" s="25" t="str">
        <f t="shared" si="20"/>
        <v/>
      </c>
      <c r="O51" s="26" t="str">
        <f t="shared" si="6"/>
        <v/>
      </c>
      <c r="P51" s="26">
        <f t="shared" si="7"/>
        <v>0</v>
      </c>
      <c r="Q51" s="20" t="s">
        <v>41</v>
      </c>
      <c r="R51" s="20">
        <f t="shared" si="1"/>
        <v>0</v>
      </c>
      <c r="S51" s="20">
        <f t="shared" si="2"/>
        <v>0</v>
      </c>
      <c r="T51" s="20">
        <f t="shared" si="8"/>
        <v>0</v>
      </c>
      <c r="U51" s="20">
        <f t="shared" si="9"/>
        <v>0</v>
      </c>
      <c r="V51" s="20" t="str">
        <f t="shared" si="10"/>
        <v/>
      </c>
      <c r="W51" s="20" t="str">
        <f t="shared" si="3"/>
        <v/>
      </c>
      <c r="X51" s="20" t="str">
        <f t="shared" si="11"/>
        <v/>
      </c>
      <c r="Y51">
        <f t="shared" si="12"/>
        <v>0</v>
      </c>
      <c r="Z51">
        <f t="shared" si="13"/>
        <v>0</v>
      </c>
      <c r="AA51" s="14" t="b">
        <f t="shared" si="4"/>
        <v>0</v>
      </c>
      <c r="AB51" s="28" t="str">
        <f t="shared" si="14"/>
        <v/>
      </c>
      <c r="AC51" s="20" t="str">
        <f t="shared" si="15"/>
        <v/>
      </c>
      <c r="AD51" s="20" t="str">
        <f t="shared" si="16"/>
        <v/>
      </c>
    </row>
    <row r="52" spans="1:30" ht="15.75" customHeight="1" thickBot="1">
      <c r="A52" s="55"/>
      <c r="B52" s="61"/>
      <c r="C52" s="36" t="str">
        <f t="shared" ref="C52" si="72">IF(OR(LEN(C51)&lt;1,LEN(D52)&lt;1),"","E")</f>
        <v/>
      </c>
      <c r="D52" s="39"/>
      <c r="E52" s="45"/>
      <c r="F52" s="53"/>
      <c r="G52" s="58"/>
      <c r="H52" s="39"/>
      <c r="I52" s="39"/>
      <c r="J52" s="39"/>
      <c r="K52" s="50"/>
      <c r="M52" s="25">
        <f t="shared" si="5"/>
        <v>0</v>
      </c>
      <c r="N52" s="25" t="str">
        <f t="shared" si="20"/>
        <v/>
      </c>
      <c r="O52" s="26" t="str">
        <f t="shared" si="6"/>
        <v/>
      </c>
      <c r="P52" s="26">
        <f t="shared" si="7"/>
        <v>0</v>
      </c>
      <c r="Q52" s="20" t="s">
        <v>41</v>
      </c>
      <c r="R52" s="20">
        <f t="shared" si="1"/>
        <v>0</v>
      </c>
      <c r="S52" s="20">
        <f t="shared" si="2"/>
        <v>0</v>
      </c>
      <c r="T52" s="20">
        <f t="shared" si="8"/>
        <v>0</v>
      </c>
      <c r="U52" s="20">
        <f t="shared" si="9"/>
        <v>0</v>
      </c>
      <c r="V52" s="20" t="str">
        <f t="shared" si="10"/>
        <v/>
      </c>
      <c r="W52" s="20" t="str">
        <f t="shared" si="3"/>
        <v/>
      </c>
      <c r="X52" s="20" t="str">
        <f t="shared" si="11"/>
        <v/>
      </c>
      <c r="Y52">
        <f t="shared" si="12"/>
        <v>0</v>
      </c>
      <c r="Z52">
        <f t="shared" si="13"/>
        <v>0</v>
      </c>
      <c r="AA52" s="14" t="b">
        <f t="shared" si="4"/>
        <v>0</v>
      </c>
      <c r="AB52" s="28" t="str">
        <f t="shared" si="14"/>
        <v/>
      </c>
      <c r="AC52" s="20" t="str">
        <f t="shared" si="15"/>
        <v/>
      </c>
      <c r="AD52" s="20" t="str">
        <f t="shared" si="16"/>
        <v/>
      </c>
    </row>
    <row r="53" spans="1:30" ht="15" customHeight="1">
      <c r="A53" s="54"/>
      <c r="B53" s="59" t="str">
        <f t="shared" ref="B53" si="73">IF(LEN(A53)&lt;1,"",IF(ISBLANK(B47),"",B47+1))</f>
        <v/>
      </c>
      <c r="C53" s="35" t="str">
        <f t="shared" ref="C53" si="74">IF(ISBLANK(A53),"",IF(A53="Uraian Panjang","Teks Uraian","Teks Soal"))</f>
        <v/>
      </c>
      <c r="D53" s="40"/>
      <c r="E53" s="41"/>
      <c r="F53" s="52" t="str">
        <f t="shared" ref="F53" si="75">IF(ISBLANK(A53),"",IF(A53="Pilihan Ganda","Centang salah satu jawaban disamping pada kolom KUNCI",IF(A53="Jawaban Jamak","Centang beberapa jawaban disamping pada kolom KUNCI",IF(A53="Uraian Panjang","Pastikan tidak ada jawaban yang tercentang pada kolom KUNCI",IF(A53="Esai Koreksi Otomatis","Kunci jawaban adalah teks opsi dan centang opsi tersebut pada kolom KUNCI","ISIKAN JODOHNYA PADA KOLOM KUNCI")))))</f>
        <v/>
      </c>
      <c r="G53" s="56" t="str">
        <f>IF(LEN(A53)&lt;1,"",IF(AA53=FALSE,"Ada kesalahan, mohon perhatikan kolom KETERANGAN",""))</f>
        <v/>
      </c>
      <c r="H53" s="40"/>
      <c r="I53" s="40"/>
      <c r="J53" s="46"/>
      <c r="K53" s="47"/>
      <c r="M53" s="25">
        <f t="shared" si="5"/>
        <v>0</v>
      </c>
      <c r="N53" s="25" t="str">
        <f t="shared" si="20"/>
        <v/>
      </c>
      <c r="O53" s="26" t="str">
        <f t="shared" si="6"/>
        <v/>
      </c>
      <c r="P53" s="26">
        <f t="shared" si="7"/>
        <v>0</v>
      </c>
      <c r="Q53" s="20" t="s">
        <v>41</v>
      </c>
      <c r="R53" s="20">
        <f t="shared" si="1"/>
        <v>0</v>
      </c>
      <c r="S53" s="20">
        <f t="shared" si="2"/>
        <v>0</v>
      </c>
      <c r="T53" s="20">
        <f t="shared" si="8"/>
        <v>0</v>
      </c>
      <c r="U53" s="20">
        <f t="shared" si="9"/>
        <v>0</v>
      </c>
      <c r="V53" s="20" t="str">
        <f t="shared" si="10"/>
        <v/>
      </c>
      <c r="W53" s="20" t="str">
        <f t="shared" si="3"/>
        <v/>
      </c>
      <c r="X53" s="20" t="str">
        <f t="shared" si="11"/>
        <v/>
      </c>
      <c r="Y53">
        <f t="shared" si="12"/>
        <v>0</v>
      </c>
      <c r="Z53">
        <f t="shared" si="13"/>
        <v>0</v>
      </c>
      <c r="AA53" s="14" t="b">
        <f t="shared" si="4"/>
        <v>0</v>
      </c>
      <c r="AB53" s="28" t="str">
        <f t="shared" si="14"/>
        <v/>
      </c>
      <c r="AC53" s="20" t="str">
        <f t="shared" si="15"/>
        <v/>
      </c>
      <c r="AD53" s="20" t="str">
        <f t="shared" si="16"/>
        <v/>
      </c>
    </row>
    <row r="54" spans="1:30" ht="15" customHeight="1">
      <c r="A54" s="54"/>
      <c r="B54" s="60"/>
      <c r="C54" s="33" t="str">
        <f t="shared" ref="C54" si="76">IF(C53="Teks Uraian","",IF(OR(LEN(C53)&lt;1,LEN(D54)&lt;1),"","A"))</f>
        <v/>
      </c>
      <c r="D54" s="38"/>
      <c r="E54" s="44"/>
      <c r="F54" s="52"/>
      <c r="G54" s="57"/>
      <c r="H54" s="38"/>
      <c r="I54" s="38"/>
      <c r="J54" s="48"/>
      <c r="K54" s="49"/>
      <c r="M54" s="25">
        <f t="shared" si="5"/>
        <v>0</v>
      </c>
      <c r="N54" s="25" t="str">
        <f t="shared" si="20"/>
        <v/>
      </c>
      <c r="O54" s="26" t="str">
        <f t="shared" si="6"/>
        <v/>
      </c>
      <c r="P54" s="26">
        <f t="shared" si="7"/>
        <v>0</v>
      </c>
      <c r="Q54" s="20" t="s">
        <v>41</v>
      </c>
      <c r="R54" s="20">
        <f t="shared" si="1"/>
        <v>0</v>
      </c>
      <c r="S54" s="20">
        <f t="shared" si="2"/>
        <v>0</v>
      </c>
      <c r="T54" s="20">
        <f t="shared" si="8"/>
        <v>0</v>
      </c>
      <c r="U54" s="20">
        <f t="shared" si="9"/>
        <v>0</v>
      </c>
      <c r="V54" s="20" t="str">
        <f t="shared" si="10"/>
        <v/>
      </c>
      <c r="W54" s="20" t="str">
        <f t="shared" si="3"/>
        <v/>
      </c>
      <c r="X54" s="20" t="str">
        <f t="shared" si="11"/>
        <v/>
      </c>
      <c r="Y54">
        <f t="shared" si="12"/>
        <v>0</v>
      </c>
      <c r="Z54">
        <f t="shared" si="13"/>
        <v>0</v>
      </c>
      <c r="AA54" s="14" t="b">
        <f t="shared" si="4"/>
        <v>0</v>
      </c>
      <c r="AB54" s="28" t="str">
        <f t="shared" si="14"/>
        <v/>
      </c>
      <c r="AC54" s="20" t="str">
        <f t="shared" si="15"/>
        <v/>
      </c>
      <c r="AD54" s="20" t="str">
        <f t="shared" si="16"/>
        <v/>
      </c>
    </row>
    <row r="55" spans="1:30" ht="15" customHeight="1">
      <c r="A55" s="54"/>
      <c r="B55" s="60"/>
      <c r="C55" s="33" t="str">
        <f t="shared" ref="C55" si="77">IF(OR(LEN(C54)&lt;1,LEN(D54)&lt;1),"","B")</f>
        <v/>
      </c>
      <c r="D55" s="38"/>
      <c r="E55" s="44"/>
      <c r="F55" s="52"/>
      <c r="G55" s="57"/>
      <c r="H55" s="38"/>
      <c r="I55" s="38"/>
      <c r="J55" s="48"/>
      <c r="K55" s="49"/>
      <c r="M55" s="25">
        <f t="shared" si="5"/>
        <v>0</v>
      </c>
      <c r="N55" s="25" t="str">
        <f t="shared" si="20"/>
        <v/>
      </c>
      <c r="O55" s="26" t="str">
        <f t="shared" si="6"/>
        <v/>
      </c>
      <c r="P55" s="26">
        <f t="shared" si="7"/>
        <v>0</v>
      </c>
      <c r="Q55" s="20" t="s">
        <v>41</v>
      </c>
      <c r="R55" s="20">
        <f t="shared" si="1"/>
        <v>0</v>
      </c>
      <c r="S55" s="20">
        <f t="shared" si="2"/>
        <v>0</v>
      </c>
      <c r="T55" s="20">
        <f t="shared" si="8"/>
        <v>0</v>
      </c>
      <c r="U55" s="20">
        <f t="shared" si="9"/>
        <v>0</v>
      </c>
      <c r="V55" s="20" t="str">
        <f t="shared" si="10"/>
        <v/>
      </c>
      <c r="W55" s="20" t="str">
        <f t="shared" si="3"/>
        <v/>
      </c>
      <c r="X55" s="20" t="str">
        <f t="shared" si="11"/>
        <v/>
      </c>
      <c r="Y55">
        <f t="shared" si="12"/>
        <v>0</v>
      </c>
      <c r="Z55">
        <f t="shared" si="13"/>
        <v>0</v>
      </c>
      <c r="AA55" s="14" t="b">
        <f t="shared" si="4"/>
        <v>0</v>
      </c>
      <c r="AB55" s="28" t="str">
        <f t="shared" si="14"/>
        <v/>
      </c>
      <c r="AC55" s="20" t="str">
        <f t="shared" si="15"/>
        <v/>
      </c>
      <c r="AD55" s="20" t="str">
        <f t="shared" si="16"/>
        <v/>
      </c>
    </row>
    <row r="56" spans="1:30" ht="15" customHeight="1">
      <c r="A56" s="54"/>
      <c r="B56" s="60"/>
      <c r="C56" s="33" t="str">
        <f t="shared" ref="C56" si="78">IF(OR(LEN(C55)&lt;1,LEN(D56)&lt;1),"","C")</f>
        <v/>
      </c>
      <c r="D56" s="38"/>
      <c r="E56" s="42"/>
      <c r="F56" s="52"/>
      <c r="G56" s="57"/>
      <c r="H56" s="38"/>
      <c r="I56" s="38"/>
      <c r="J56" s="48"/>
      <c r="K56" s="49"/>
      <c r="M56" s="25">
        <f t="shared" si="5"/>
        <v>0</v>
      </c>
      <c r="N56" s="25" t="str">
        <f t="shared" si="20"/>
        <v/>
      </c>
      <c r="O56" s="26" t="str">
        <f t="shared" si="6"/>
        <v/>
      </c>
      <c r="P56" s="26">
        <f t="shared" si="7"/>
        <v>0</v>
      </c>
      <c r="Q56" s="20" t="s">
        <v>41</v>
      </c>
      <c r="R56" s="20">
        <f t="shared" si="1"/>
        <v>0</v>
      </c>
      <c r="S56" s="20">
        <f t="shared" si="2"/>
        <v>0</v>
      </c>
      <c r="T56" s="20">
        <f t="shared" si="8"/>
        <v>0</v>
      </c>
      <c r="U56" s="20">
        <f t="shared" si="9"/>
        <v>0</v>
      </c>
      <c r="V56" s="20" t="str">
        <f t="shared" si="10"/>
        <v/>
      </c>
      <c r="W56" s="20" t="str">
        <f t="shared" si="3"/>
        <v/>
      </c>
      <c r="X56" s="20" t="str">
        <f t="shared" si="11"/>
        <v/>
      </c>
      <c r="Y56">
        <f t="shared" si="12"/>
        <v>0</v>
      </c>
      <c r="Z56">
        <f t="shared" si="13"/>
        <v>0</v>
      </c>
      <c r="AA56" s="14" t="b">
        <f t="shared" si="4"/>
        <v>0</v>
      </c>
      <c r="AB56" s="28" t="str">
        <f t="shared" si="14"/>
        <v/>
      </c>
      <c r="AC56" s="20" t="str">
        <f t="shared" si="15"/>
        <v/>
      </c>
      <c r="AD56" s="20" t="str">
        <f t="shared" si="16"/>
        <v/>
      </c>
    </row>
    <row r="57" spans="1:30" ht="15" customHeight="1">
      <c r="A57" s="54"/>
      <c r="B57" s="60"/>
      <c r="C57" s="33" t="str">
        <f t="shared" ref="C57" si="79">IF(OR(LEN(C56)&lt;1,LEN(D57)&lt;1),"","D")</f>
        <v/>
      </c>
      <c r="D57" s="38"/>
      <c r="E57" s="44"/>
      <c r="F57" s="52"/>
      <c r="G57" s="57"/>
      <c r="H57" s="38"/>
      <c r="I57" s="38"/>
      <c r="J57" s="48"/>
      <c r="K57" s="49"/>
      <c r="M57" s="25">
        <f t="shared" si="5"/>
        <v>0</v>
      </c>
      <c r="N57" s="25" t="str">
        <f t="shared" si="20"/>
        <v/>
      </c>
      <c r="O57" s="26" t="str">
        <f t="shared" si="6"/>
        <v/>
      </c>
      <c r="P57" s="26">
        <f t="shared" si="7"/>
        <v>0</v>
      </c>
      <c r="Q57" s="20" t="s">
        <v>41</v>
      </c>
      <c r="R57" s="20">
        <f t="shared" si="1"/>
        <v>0</v>
      </c>
      <c r="S57" s="20">
        <f t="shared" si="2"/>
        <v>0</v>
      </c>
      <c r="T57" s="20">
        <f t="shared" si="8"/>
        <v>0</v>
      </c>
      <c r="U57" s="20">
        <f t="shared" si="9"/>
        <v>0</v>
      </c>
      <c r="V57" s="20" t="str">
        <f t="shared" si="10"/>
        <v/>
      </c>
      <c r="W57" s="20" t="str">
        <f t="shared" si="3"/>
        <v/>
      </c>
      <c r="X57" s="20" t="str">
        <f t="shared" si="11"/>
        <v/>
      </c>
      <c r="Y57">
        <f t="shared" si="12"/>
        <v>0</v>
      </c>
      <c r="Z57">
        <f t="shared" si="13"/>
        <v>0</v>
      </c>
      <c r="AA57" s="14" t="b">
        <f t="shared" si="4"/>
        <v>0</v>
      </c>
      <c r="AB57" s="28" t="str">
        <f t="shared" si="14"/>
        <v/>
      </c>
      <c r="AC57" s="20" t="str">
        <f t="shared" si="15"/>
        <v/>
      </c>
      <c r="AD57" s="20" t="str">
        <f t="shared" si="16"/>
        <v/>
      </c>
    </row>
    <row r="58" spans="1:30" ht="15.75" customHeight="1" thickBot="1">
      <c r="A58" s="55"/>
      <c r="B58" s="61"/>
      <c r="C58" s="36" t="str">
        <f t="shared" ref="C58" si="80">IF(OR(LEN(C57)&lt;1,LEN(D58)&lt;1),"","E")</f>
        <v/>
      </c>
      <c r="D58" s="39"/>
      <c r="E58" s="45"/>
      <c r="F58" s="53"/>
      <c r="G58" s="58"/>
      <c r="H58" s="39"/>
      <c r="I58" s="39"/>
      <c r="J58" s="39"/>
      <c r="K58" s="50"/>
      <c r="M58" s="25">
        <f t="shared" si="5"/>
        <v>0</v>
      </c>
      <c r="N58" s="25" t="str">
        <f t="shared" si="20"/>
        <v/>
      </c>
      <c r="O58" s="26" t="str">
        <f t="shared" si="6"/>
        <v/>
      </c>
      <c r="P58" s="26">
        <f t="shared" si="7"/>
        <v>0</v>
      </c>
      <c r="Q58" s="20" t="s">
        <v>41</v>
      </c>
      <c r="R58" s="20">
        <f t="shared" si="1"/>
        <v>0</v>
      </c>
      <c r="S58" s="20">
        <f t="shared" si="2"/>
        <v>0</v>
      </c>
      <c r="T58" s="20">
        <f t="shared" si="8"/>
        <v>0</v>
      </c>
      <c r="U58" s="20">
        <f t="shared" si="9"/>
        <v>0</v>
      </c>
      <c r="V58" s="20" t="str">
        <f t="shared" si="10"/>
        <v/>
      </c>
      <c r="W58" s="20" t="str">
        <f t="shared" si="3"/>
        <v/>
      </c>
      <c r="X58" s="20" t="str">
        <f t="shared" si="11"/>
        <v/>
      </c>
      <c r="Y58">
        <f t="shared" si="12"/>
        <v>0</v>
      </c>
      <c r="Z58">
        <f t="shared" si="13"/>
        <v>0</v>
      </c>
      <c r="AA58" s="14" t="b">
        <f t="shared" si="4"/>
        <v>0</v>
      </c>
      <c r="AB58" s="28" t="str">
        <f t="shared" si="14"/>
        <v/>
      </c>
      <c r="AC58" s="20" t="str">
        <f t="shared" si="15"/>
        <v/>
      </c>
      <c r="AD58" s="20" t="str">
        <f t="shared" si="16"/>
        <v/>
      </c>
    </row>
    <row r="59" spans="1:30" ht="15" customHeight="1">
      <c r="A59" s="54"/>
      <c r="B59" s="59" t="str">
        <f t="shared" ref="B59" si="81">IF(LEN(A59)&lt;1,"",IF(ISBLANK(B53),"",B53+1))</f>
        <v/>
      </c>
      <c r="C59" s="35" t="str">
        <f t="shared" ref="C59" si="82">IF(ISBLANK(A59),"",IF(A59="Uraian Panjang","Teks Uraian","Teks Soal"))</f>
        <v/>
      </c>
      <c r="D59" s="40"/>
      <c r="E59" s="41"/>
      <c r="F59" s="52" t="str">
        <f t="shared" ref="F59" si="83">IF(ISBLANK(A59),"",IF(A59="Pilihan Ganda","Centang salah satu jawaban disamping pada kolom KUNCI",IF(A59="Jawaban Jamak","Centang beberapa jawaban disamping pada kolom KUNCI",IF(A59="Uraian Panjang","Pastikan tidak ada jawaban yang tercentang pada kolom KUNCI",IF(A59="Esai Koreksi Otomatis","Kunci jawaban adalah teks opsi dan centang opsi tersebut pada kolom KUNCI","ISIKAN JODOHNYA PADA KOLOM KUNCI")))))</f>
        <v/>
      </c>
      <c r="G59" s="56" t="str">
        <f>IF(LEN(A59)&lt;1,"",IF(AA59=FALSE,"Ada kesalahan, mohon perhatikan kolom KETERANGAN",""))</f>
        <v/>
      </c>
      <c r="H59" s="40"/>
      <c r="I59" s="40"/>
      <c r="J59" s="46"/>
      <c r="K59" s="47"/>
      <c r="M59" s="25">
        <f t="shared" si="5"/>
        <v>0</v>
      </c>
      <c r="N59" s="25" t="str">
        <f t="shared" si="20"/>
        <v/>
      </c>
      <c r="O59" s="26" t="str">
        <f t="shared" si="6"/>
        <v/>
      </c>
      <c r="P59" s="26">
        <f t="shared" si="7"/>
        <v>0</v>
      </c>
      <c r="Q59" s="20" t="s">
        <v>41</v>
      </c>
      <c r="R59" s="20">
        <f t="shared" si="1"/>
        <v>0</v>
      </c>
      <c r="S59" s="20">
        <f t="shared" si="2"/>
        <v>0</v>
      </c>
      <c r="T59" s="20">
        <f t="shared" si="8"/>
        <v>0</v>
      </c>
      <c r="U59" s="20">
        <f t="shared" si="9"/>
        <v>0</v>
      </c>
      <c r="V59" s="20" t="str">
        <f t="shared" si="10"/>
        <v/>
      </c>
      <c r="W59" s="20" t="str">
        <f t="shared" si="3"/>
        <v/>
      </c>
      <c r="X59" s="20" t="str">
        <f t="shared" si="11"/>
        <v/>
      </c>
      <c r="Y59">
        <f t="shared" si="12"/>
        <v>0</v>
      </c>
      <c r="Z59">
        <f t="shared" si="13"/>
        <v>0</v>
      </c>
      <c r="AA59" s="14" t="b">
        <f t="shared" si="4"/>
        <v>0</v>
      </c>
      <c r="AB59" s="28" t="str">
        <f t="shared" si="14"/>
        <v/>
      </c>
      <c r="AC59" s="20" t="str">
        <f t="shared" si="15"/>
        <v/>
      </c>
      <c r="AD59" s="20" t="str">
        <f t="shared" si="16"/>
        <v/>
      </c>
    </row>
    <row r="60" spans="1:30" ht="15" customHeight="1">
      <c r="A60" s="54"/>
      <c r="B60" s="60"/>
      <c r="C60" s="33" t="str">
        <f t="shared" ref="C60" si="84">IF(C59="Teks Uraian","",IF(OR(LEN(C59)&lt;1,LEN(D60)&lt;1),"","A"))</f>
        <v/>
      </c>
      <c r="D60" s="38"/>
      <c r="E60" s="44"/>
      <c r="F60" s="52"/>
      <c r="G60" s="57"/>
      <c r="H60" s="38"/>
      <c r="I60" s="38"/>
      <c r="J60" s="48"/>
      <c r="K60" s="49"/>
      <c r="M60" s="25">
        <f t="shared" si="5"/>
        <v>0</v>
      </c>
      <c r="N60" s="25" t="str">
        <f t="shared" si="20"/>
        <v/>
      </c>
      <c r="O60" s="26" t="str">
        <f t="shared" si="6"/>
        <v/>
      </c>
      <c r="P60" s="26">
        <f t="shared" si="7"/>
        <v>0</v>
      </c>
      <c r="Q60" s="20" t="s">
        <v>41</v>
      </c>
      <c r="R60" s="20">
        <f t="shared" si="1"/>
        <v>0</v>
      </c>
      <c r="S60" s="20">
        <f t="shared" si="2"/>
        <v>0</v>
      </c>
      <c r="T60" s="20">
        <f t="shared" si="8"/>
        <v>0</v>
      </c>
      <c r="U60" s="20">
        <f t="shared" si="9"/>
        <v>0</v>
      </c>
      <c r="V60" s="20" t="str">
        <f t="shared" si="10"/>
        <v/>
      </c>
      <c r="W60" s="20" t="str">
        <f t="shared" si="3"/>
        <v/>
      </c>
      <c r="X60" s="20" t="str">
        <f t="shared" si="11"/>
        <v/>
      </c>
      <c r="Y60">
        <f t="shared" si="12"/>
        <v>0</v>
      </c>
      <c r="Z60">
        <f t="shared" si="13"/>
        <v>0</v>
      </c>
      <c r="AA60" s="14" t="b">
        <f t="shared" si="4"/>
        <v>0</v>
      </c>
      <c r="AB60" s="28" t="str">
        <f t="shared" si="14"/>
        <v/>
      </c>
      <c r="AC60" s="20" t="str">
        <f t="shared" si="15"/>
        <v/>
      </c>
      <c r="AD60" s="20" t="str">
        <f t="shared" si="16"/>
        <v/>
      </c>
    </row>
    <row r="61" spans="1:30" ht="15" customHeight="1">
      <c r="A61" s="54"/>
      <c r="B61" s="60"/>
      <c r="C61" s="33" t="str">
        <f t="shared" ref="C61" si="85">IF(OR(LEN(C60)&lt;1,LEN(D60)&lt;1),"","B")</f>
        <v/>
      </c>
      <c r="D61" s="38"/>
      <c r="E61" s="44"/>
      <c r="F61" s="52"/>
      <c r="G61" s="57"/>
      <c r="H61" s="38"/>
      <c r="I61" s="38"/>
      <c r="J61" s="48"/>
      <c r="K61" s="49"/>
      <c r="M61" s="25">
        <f t="shared" si="5"/>
        <v>0</v>
      </c>
      <c r="N61" s="25" t="str">
        <f t="shared" si="20"/>
        <v/>
      </c>
      <c r="O61" s="26" t="str">
        <f t="shared" si="6"/>
        <v/>
      </c>
      <c r="P61" s="26">
        <f t="shared" si="7"/>
        <v>0</v>
      </c>
      <c r="Q61" s="20" t="s">
        <v>41</v>
      </c>
      <c r="R61" s="20">
        <f t="shared" si="1"/>
        <v>0</v>
      </c>
      <c r="S61" s="20">
        <f t="shared" si="2"/>
        <v>0</v>
      </c>
      <c r="T61" s="20">
        <f t="shared" si="8"/>
        <v>0</v>
      </c>
      <c r="U61" s="20">
        <f t="shared" si="9"/>
        <v>0</v>
      </c>
      <c r="V61" s="20" t="str">
        <f t="shared" si="10"/>
        <v/>
      </c>
      <c r="W61" s="20" t="str">
        <f t="shared" si="3"/>
        <v/>
      </c>
      <c r="X61" s="20" t="str">
        <f t="shared" si="11"/>
        <v/>
      </c>
      <c r="Y61">
        <f t="shared" si="12"/>
        <v>0</v>
      </c>
      <c r="Z61">
        <f t="shared" si="13"/>
        <v>0</v>
      </c>
      <c r="AA61" s="14" t="b">
        <f t="shared" si="4"/>
        <v>0</v>
      </c>
      <c r="AB61" s="28" t="str">
        <f t="shared" si="14"/>
        <v/>
      </c>
      <c r="AC61" s="20" t="str">
        <f t="shared" si="15"/>
        <v/>
      </c>
      <c r="AD61" s="20" t="str">
        <f t="shared" si="16"/>
        <v/>
      </c>
    </row>
    <row r="62" spans="1:30" ht="15" customHeight="1">
      <c r="A62" s="54"/>
      <c r="B62" s="60"/>
      <c r="C62" s="33" t="str">
        <f t="shared" ref="C62" si="86">IF(OR(LEN(C61)&lt;1,LEN(D62)&lt;1),"","C")</f>
        <v/>
      </c>
      <c r="D62" s="38"/>
      <c r="E62" s="42"/>
      <c r="F62" s="52"/>
      <c r="G62" s="57"/>
      <c r="H62" s="38"/>
      <c r="I62" s="38"/>
      <c r="J62" s="48"/>
      <c r="K62" s="49"/>
      <c r="M62" s="25">
        <f t="shared" si="5"/>
        <v>0</v>
      </c>
      <c r="N62" s="25" t="str">
        <f t="shared" si="20"/>
        <v/>
      </c>
      <c r="O62" s="26" t="str">
        <f t="shared" si="6"/>
        <v/>
      </c>
      <c r="P62" s="26">
        <f t="shared" si="7"/>
        <v>0</v>
      </c>
      <c r="Q62" s="20" t="s">
        <v>41</v>
      </c>
      <c r="R62" s="20">
        <f t="shared" si="1"/>
        <v>0</v>
      </c>
      <c r="S62" s="20">
        <f t="shared" si="2"/>
        <v>0</v>
      </c>
      <c r="T62" s="20">
        <f t="shared" si="8"/>
        <v>0</v>
      </c>
      <c r="U62" s="20">
        <f t="shared" si="9"/>
        <v>0</v>
      </c>
      <c r="V62" s="20" t="str">
        <f t="shared" si="10"/>
        <v/>
      </c>
      <c r="W62" s="20" t="str">
        <f t="shared" si="3"/>
        <v/>
      </c>
      <c r="X62" s="20" t="str">
        <f t="shared" si="11"/>
        <v/>
      </c>
      <c r="Y62">
        <f t="shared" si="12"/>
        <v>0</v>
      </c>
      <c r="Z62">
        <f t="shared" si="13"/>
        <v>0</v>
      </c>
      <c r="AA62" s="14" t="b">
        <f t="shared" si="4"/>
        <v>0</v>
      </c>
      <c r="AB62" s="28" t="str">
        <f t="shared" si="14"/>
        <v/>
      </c>
      <c r="AC62" s="20" t="str">
        <f t="shared" si="15"/>
        <v/>
      </c>
      <c r="AD62" s="20" t="str">
        <f t="shared" si="16"/>
        <v/>
      </c>
    </row>
    <row r="63" spans="1:30" ht="15" customHeight="1">
      <c r="A63" s="54"/>
      <c r="B63" s="60"/>
      <c r="C63" s="33" t="str">
        <f t="shared" ref="C63" si="87">IF(OR(LEN(C62)&lt;1,LEN(D63)&lt;1),"","D")</f>
        <v/>
      </c>
      <c r="D63" s="38"/>
      <c r="E63" s="44"/>
      <c r="F63" s="52"/>
      <c r="G63" s="57"/>
      <c r="H63" s="38"/>
      <c r="I63" s="38"/>
      <c r="J63" s="48"/>
      <c r="K63" s="49"/>
      <c r="M63" s="25">
        <f t="shared" si="5"/>
        <v>0</v>
      </c>
      <c r="N63" s="25" t="str">
        <f t="shared" si="20"/>
        <v/>
      </c>
      <c r="O63" s="26" t="str">
        <f t="shared" si="6"/>
        <v/>
      </c>
      <c r="P63" s="26">
        <f t="shared" si="7"/>
        <v>0</v>
      </c>
      <c r="Q63" s="20" t="s">
        <v>41</v>
      </c>
      <c r="R63" s="20">
        <f t="shared" si="1"/>
        <v>0</v>
      </c>
      <c r="S63" s="20">
        <f t="shared" si="2"/>
        <v>0</v>
      </c>
      <c r="T63" s="20">
        <f t="shared" si="8"/>
        <v>0</v>
      </c>
      <c r="U63" s="20">
        <f t="shared" si="9"/>
        <v>0</v>
      </c>
      <c r="V63" s="20" t="str">
        <f t="shared" si="10"/>
        <v/>
      </c>
      <c r="W63" s="20" t="str">
        <f t="shared" si="3"/>
        <v/>
      </c>
      <c r="X63" s="20" t="str">
        <f t="shared" si="11"/>
        <v/>
      </c>
      <c r="Y63">
        <f t="shared" si="12"/>
        <v>0</v>
      </c>
      <c r="Z63">
        <f t="shared" si="13"/>
        <v>0</v>
      </c>
      <c r="AA63" s="14" t="b">
        <f t="shared" si="4"/>
        <v>0</v>
      </c>
      <c r="AB63" s="28" t="str">
        <f t="shared" si="14"/>
        <v/>
      </c>
      <c r="AC63" s="20" t="str">
        <f t="shared" si="15"/>
        <v/>
      </c>
      <c r="AD63" s="20" t="str">
        <f t="shared" si="16"/>
        <v/>
      </c>
    </row>
    <row r="64" spans="1:30" ht="15.75" customHeight="1" thickBot="1">
      <c r="A64" s="55"/>
      <c r="B64" s="61"/>
      <c r="C64" s="36" t="str">
        <f t="shared" ref="C64" si="88">IF(OR(LEN(C63)&lt;1,LEN(D64)&lt;1),"","E")</f>
        <v/>
      </c>
      <c r="D64" s="39"/>
      <c r="E64" s="45"/>
      <c r="F64" s="53"/>
      <c r="G64" s="58"/>
      <c r="H64" s="39"/>
      <c r="I64" s="39"/>
      <c r="J64" s="39"/>
      <c r="K64" s="50"/>
      <c r="M64" s="25">
        <f t="shared" si="5"/>
        <v>0</v>
      </c>
      <c r="N64" s="25" t="str">
        <f t="shared" si="20"/>
        <v/>
      </c>
      <c r="O64" s="26" t="str">
        <f t="shared" si="6"/>
        <v/>
      </c>
      <c r="P64" s="26">
        <f t="shared" si="7"/>
        <v>0</v>
      </c>
      <c r="Q64" s="20" t="s">
        <v>41</v>
      </c>
      <c r="R64" s="20">
        <f t="shared" si="1"/>
        <v>0</v>
      </c>
      <c r="S64" s="20">
        <f t="shared" si="2"/>
        <v>0</v>
      </c>
      <c r="T64" s="20">
        <f t="shared" si="8"/>
        <v>0</v>
      </c>
      <c r="U64" s="20">
        <f t="shared" si="9"/>
        <v>0</v>
      </c>
      <c r="V64" s="20" t="str">
        <f t="shared" si="10"/>
        <v/>
      </c>
      <c r="W64" s="20" t="str">
        <f t="shared" si="3"/>
        <v/>
      </c>
      <c r="X64" s="20" t="str">
        <f t="shared" si="11"/>
        <v/>
      </c>
      <c r="Y64">
        <f t="shared" si="12"/>
        <v>0</v>
      </c>
      <c r="Z64">
        <f t="shared" si="13"/>
        <v>0</v>
      </c>
      <c r="AA64" s="14" t="b">
        <f t="shared" si="4"/>
        <v>0</v>
      </c>
      <c r="AB64" s="28" t="str">
        <f t="shared" si="14"/>
        <v/>
      </c>
      <c r="AC64" s="20" t="str">
        <f t="shared" si="15"/>
        <v/>
      </c>
      <c r="AD64" s="20" t="str">
        <f t="shared" si="16"/>
        <v/>
      </c>
    </row>
    <row r="65" spans="1:30" ht="15" customHeight="1">
      <c r="A65" s="54"/>
      <c r="B65" s="59" t="str">
        <f t="shared" ref="B65" si="89">IF(LEN(A65)&lt;1,"",IF(ISBLANK(B59),"",B59+1))</f>
        <v/>
      </c>
      <c r="C65" s="35" t="str">
        <f t="shared" ref="C65" si="90">IF(ISBLANK(A65),"",IF(A65="Uraian Panjang","Teks Uraian","Teks Soal"))</f>
        <v/>
      </c>
      <c r="D65" s="40"/>
      <c r="E65" s="41"/>
      <c r="F65" s="52" t="str">
        <f t="shared" ref="F65" si="91">IF(ISBLANK(A65),"",IF(A65="Pilihan Ganda","Centang salah satu jawaban disamping pada kolom KUNCI",IF(A65="Jawaban Jamak","Centang beberapa jawaban disamping pada kolom KUNCI",IF(A65="Uraian Panjang","Pastikan tidak ada jawaban yang tercentang pada kolom KUNCI",IF(A65="Esai Koreksi Otomatis","Kunci jawaban adalah teks opsi dan centang opsi tersebut pada kolom KUNCI","ISIKAN JODOHNYA PADA KOLOM KUNCI")))))</f>
        <v/>
      </c>
      <c r="G65" s="56" t="str">
        <f>IF(LEN(A65)&lt;1,"",IF(AA65=FALSE,"Ada kesalahan, mohon perhatikan kolom KETERANGAN",""))</f>
        <v/>
      </c>
      <c r="H65" s="40"/>
      <c r="I65" s="40"/>
      <c r="J65" s="46"/>
      <c r="K65" s="47"/>
      <c r="M65" s="25">
        <f t="shared" si="5"/>
        <v>0</v>
      </c>
      <c r="N65" s="25" t="str">
        <f t="shared" si="20"/>
        <v/>
      </c>
      <c r="O65" s="26" t="str">
        <f t="shared" si="6"/>
        <v/>
      </c>
      <c r="P65" s="26">
        <f t="shared" si="7"/>
        <v>0</v>
      </c>
      <c r="Q65" s="20" t="s">
        <v>41</v>
      </c>
      <c r="R65" s="20">
        <f t="shared" si="1"/>
        <v>0</v>
      </c>
      <c r="S65" s="20">
        <f t="shared" si="2"/>
        <v>0</v>
      </c>
      <c r="T65" s="20">
        <f t="shared" si="8"/>
        <v>0</v>
      </c>
      <c r="U65" s="20">
        <f t="shared" si="9"/>
        <v>0</v>
      </c>
      <c r="V65" s="20" t="str">
        <f t="shared" si="10"/>
        <v/>
      </c>
      <c r="W65" s="20" t="str">
        <f t="shared" si="3"/>
        <v/>
      </c>
      <c r="X65" s="20" t="str">
        <f t="shared" si="11"/>
        <v/>
      </c>
      <c r="Y65">
        <f t="shared" si="12"/>
        <v>0</v>
      </c>
      <c r="Z65">
        <f t="shared" si="13"/>
        <v>0</v>
      </c>
      <c r="AA65" s="14" t="b">
        <f t="shared" si="4"/>
        <v>0</v>
      </c>
      <c r="AB65" s="28" t="str">
        <f t="shared" si="14"/>
        <v/>
      </c>
      <c r="AC65" s="20" t="str">
        <f t="shared" si="15"/>
        <v/>
      </c>
      <c r="AD65" s="20" t="str">
        <f t="shared" si="16"/>
        <v/>
      </c>
    </row>
    <row r="66" spans="1:30" ht="15" customHeight="1">
      <c r="A66" s="54"/>
      <c r="B66" s="60"/>
      <c r="C66" s="33" t="str">
        <f t="shared" ref="C66" si="92">IF(C65="Teks Uraian","",IF(OR(LEN(C65)&lt;1,LEN(D66)&lt;1),"","A"))</f>
        <v/>
      </c>
      <c r="D66" s="38"/>
      <c r="E66" s="44"/>
      <c r="F66" s="52"/>
      <c r="G66" s="57"/>
      <c r="H66" s="38"/>
      <c r="I66" s="38"/>
      <c r="J66" s="48"/>
      <c r="K66" s="49"/>
      <c r="M66" s="25">
        <f t="shared" si="5"/>
        <v>0</v>
      </c>
      <c r="N66" s="25" t="str">
        <f t="shared" si="20"/>
        <v/>
      </c>
      <c r="O66" s="26" t="str">
        <f t="shared" si="6"/>
        <v/>
      </c>
      <c r="P66" s="26">
        <f t="shared" si="7"/>
        <v>0</v>
      </c>
      <c r="Q66" s="20" t="s">
        <v>41</v>
      </c>
      <c r="R66" s="20">
        <f t="shared" si="1"/>
        <v>0</v>
      </c>
      <c r="S66" s="20">
        <f t="shared" si="2"/>
        <v>0</v>
      </c>
      <c r="T66" s="20">
        <f t="shared" si="8"/>
        <v>0</v>
      </c>
      <c r="U66" s="20">
        <f t="shared" si="9"/>
        <v>0</v>
      </c>
      <c r="V66" s="20" t="str">
        <f t="shared" si="10"/>
        <v/>
      </c>
      <c r="W66" s="20" t="str">
        <f t="shared" si="3"/>
        <v/>
      </c>
      <c r="X66" s="20" t="str">
        <f t="shared" si="11"/>
        <v/>
      </c>
      <c r="Y66">
        <f t="shared" si="12"/>
        <v>0</v>
      </c>
      <c r="Z66">
        <f t="shared" si="13"/>
        <v>0</v>
      </c>
      <c r="AA66" s="14" t="b">
        <f t="shared" si="4"/>
        <v>0</v>
      </c>
      <c r="AB66" s="28" t="str">
        <f t="shared" si="14"/>
        <v/>
      </c>
      <c r="AC66" s="20" t="str">
        <f t="shared" si="15"/>
        <v/>
      </c>
      <c r="AD66" s="20" t="str">
        <f t="shared" si="16"/>
        <v/>
      </c>
    </row>
    <row r="67" spans="1:30" ht="15" customHeight="1">
      <c r="A67" s="54"/>
      <c r="B67" s="60"/>
      <c r="C67" s="33" t="str">
        <f t="shared" ref="C67" si="93">IF(OR(LEN(C66)&lt;1,LEN(D66)&lt;1),"","B")</f>
        <v/>
      </c>
      <c r="D67" s="38"/>
      <c r="E67" s="44"/>
      <c r="F67" s="52"/>
      <c r="G67" s="57"/>
      <c r="H67" s="38"/>
      <c r="I67" s="38"/>
      <c r="J67" s="48"/>
      <c r="K67" s="49"/>
      <c r="M67" s="25">
        <f t="shared" si="5"/>
        <v>0</v>
      </c>
      <c r="N67" s="25" t="str">
        <f t="shared" si="20"/>
        <v/>
      </c>
      <c r="O67" s="26" t="str">
        <f t="shared" si="6"/>
        <v/>
      </c>
      <c r="P67" s="26">
        <f t="shared" si="7"/>
        <v>0</v>
      </c>
      <c r="Q67" s="20" t="s">
        <v>41</v>
      </c>
      <c r="R67" s="20">
        <f t="shared" si="1"/>
        <v>0</v>
      </c>
      <c r="S67" s="20">
        <f t="shared" si="2"/>
        <v>0</v>
      </c>
      <c r="T67" s="20">
        <f t="shared" si="8"/>
        <v>0</v>
      </c>
      <c r="U67" s="20">
        <f t="shared" si="9"/>
        <v>0</v>
      </c>
      <c r="V67" s="20" t="str">
        <f t="shared" si="10"/>
        <v/>
      </c>
      <c r="W67" s="20" t="str">
        <f t="shared" si="3"/>
        <v/>
      </c>
      <c r="X67" s="20" t="str">
        <f t="shared" si="11"/>
        <v/>
      </c>
      <c r="Y67">
        <f t="shared" si="12"/>
        <v>0</v>
      </c>
      <c r="Z67">
        <f t="shared" si="13"/>
        <v>0</v>
      </c>
      <c r="AA67" s="14" t="b">
        <f t="shared" si="4"/>
        <v>0</v>
      </c>
      <c r="AB67" s="28" t="str">
        <f t="shared" si="14"/>
        <v/>
      </c>
      <c r="AC67" s="20" t="str">
        <f t="shared" si="15"/>
        <v/>
      </c>
      <c r="AD67" s="20" t="str">
        <f t="shared" si="16"/>
        <v/>
      </c>
    </row>
    <row r="68" spans="1:30" ht="15" customHeight="1">
      <c r="A68" s="54"/>
      <c r="B68" s="60"/>
      <c r="C68" s="33" t="str">
        <f t="shared" ref="C68" si="94">IF(OR(LEN(C67)&lt;1,LEN(D68)&lt;1),"","C")</f>
        <v/>
      </c>
      <c r="D68" s="38"/>
      <c r="E68" s="42"/>
      <c r="F68" s="52"/>
      <c r="G68" s="57"/>
      <c r="H68" s="38"/>
      <c r="I68" s="38"/>
      <c r="J68" s="48"/>
      <c r="K68" s="49"/>
      <c r="M68" s="25">
        <f t="shared" si="5"/>
        <v>0</v>
      </c>
      <c r="N68" s="25" t="str">
        <f t="shared" si="20"/>
        <v/>
      </c>
      <c r="O68" s="26" t="str">
        <f t="shared" si="6"/>
        <v/>
      </c>
      <c r="P68" s="26">
        <f t="shared" si="7"/>
        <v>0</v>
      </c>
      <c r="Q68" s="20" t="s">
        <v>41</v>
      </c>
      <c r="R68" s="20">
        <f t="shared" si="1"/>
        <v>0</v>
      </c>
      <c r="S68" s="20">
        <f t="shared" si="2"/>
        <v>0</v>
      </c>
      <c r="T68" s="20">
        <f t="shared" si="8"/>
        <v>0</v>
      </c>
      <c r="U68" s="20">
        <f t="shared" si="9"/>
        <v>0</v>
      </c>
      <c r="V68" s="20" t="str">
        <f t="shared" si="10"/>
        <v/>
      </c>
      <c r="W68" s="20" t="str">
        <f t="shared" si="3"/>
        <v/>
      </c>
      <c r="X68" s="20" t="str">
        <f t="shared" si="11"/>
        <v/>
      </c>
      <c r="Y68">
        <f t="shared" si="12"/>
        <v>0</v>
      </c>
      <c r="Z68">
        <f t="shared" si="13"/>
        <v>0</v>
      </c>
      <c r="AA68" s="14" t="b">
        <f t="shared" si="4"/>
        <v>0</v>
      </c>
      <c r="AB68" s="28" t="str">
        <f t="shared" si="14"/>
        <v/>
      </c>
      <c r="AC68" s="20" t="str">
        <f t="shared" si="15"/>
        <v/>
      </c>
      <c r="AD68" s="20" t="str">
        <f t="shared" si="16"/>
        <v/>
      </c>
    </row>
    <row r="69" spans="1:30" ht="15" customHeight="1">
      <c r="A69" s="54"/>
      <c r="B69" s="60"/>
      <c r="C69" s="33" t="str">
        <f t="shared" ref="C69" si="95">IF(OR(LEN(C68)&lt;1,LEN(D69)&lt;1),"","D")</f>
        <v/>
      </c>
      <c r="D69" s="38"/>
      <c r="E69" s="44"/>
      <c r="F69" s="52"/>
      <c r="G69" s="57"/>
      <c r="H69" s="38"/>
      <c r="I69" s="38"/>
      <c r="J69" s="48"/>
      <c r="K69" s="49"/>
      <c r="M69" s="25">
        <f t="shared" si="5"/>
        <v>0</v>
      </c>
      <c r="N69" s="25" t="str">
        <f t="shared" si="20"/>
        <v/>
      </c>
      <c r="O69" s="26" t="str">
        <f t="shared" si="6"/>
        <v/>
      </c>
      <c r="P69" s="26">
        <f t="shared" si="7"/>
        <v>0</v>
      </c>
      <c r="Q69" s="20" t="s">
        <v>41</v>
      </c>
      <c r="R69" s="20">
        <f t="shared" ref="R69:R132" si="96">C$1</f>
        <v>0</v>
      </c>
      <c r="S69" s="20">
        <f t="shared" ref="S69:S132" si="97">C$2</f>
        <v>0</v>
      </c>
      <c r="T69" s="20">
        <f t="shared" si="8"/>
        <v>0</v>
      </c>
      <c r="U69" s="20">
        <f t="shared" si="9"/>
        <v>0</v>
      </c>
      <c r="V69" s="20" t="str">
        <f t="shared" ref="V69:V132" si="98">IF(ISBLANK(H69),"",CONCATENATE("&lt;img src='",Q69,R69,"/",S69,"/",T69,"'&gt;&lt;br/&gt;"))</f>
        <v/>
      </c>
      <c r="W69" s="20" t="str">
        <f t="shared" ref="W69:W132" si="99">IF(ISBLANK(I69),"",CONCATENATE("&lt;br/&gt;&lt;img src='",Q69,R69,"/",S69,"/",U69,"'&gt;"))</f>
        <v/>
      </c>
      <c r="X69" s="20" t="str">
        <f t="shared" si="11"/>
        <v/>
      </c>
      <c r="Y69">
        <f t="shared" si="12"/>
        <v>0</v>
      </c>
      <c r="Z69">
        <f t="shared" si="13"/>
        <v>0</v>
      </c>
      <c r="AA69" s="14" t="b">
        <f t="shared" ref="AA69:AA132" si="100">IF(A69="Pilihan Ganda",
 AND(A69="Pilihan Ganda",Y69=1),
 IF(A69="Jawaban Jamak",
  AND(A69="Jawaban Jamak",Y69&gt;1),
  IF(A69="Menjodohkan",
   AND(A69="Menjodohkan",Y69=0),
   IF(A69="Uraian Panjang",
    AND(A69="Uraian Panjang",Y69=0),
    IF(A69="Esai Koreksi Otomatis",
     AND(A69="Esai Koreksi Otomatis",Y69&gt;0)
    )
   )
  )
 )
)</f>
        <v>0</v>
      </c>
      <c r="AB69" s="28" t="str">
        <f t="shared" si="14"/>
        <v/>
      </c>
      <c r="AC69" s="20" t="str">
        <f t="shared" si="15"/>
        <v/>
      </c>
      <c r="AD69" s="20" t="str">
        <f t="shared" si="16"/>
        <v/>
      </c>
    </row>
    <row r="70" spans="1:30" ht="15.75" customHeight="1" thickBot="1">
      <c r="A70" s="55"/>
      <c r="B70" s="61"/>
      <c r="C70" s="36" t="str">
        <f t="shared" ref="C70" si="101">IF(OR(LEN(C69)&lt;1,LEN(D70)&lt;1),"","E")</f>
        <v/>
      </c>
      <c r="D70" s="39"/>
      <c r="E70" s="45"/>
      <c r="F70" s="53"/>
      <c r="G70" s="58"/>
      <c r="H70" s="39"/>
      <c r="I70" s="39"/>
      <c r="J70" s="39"/>
      <c r="K70" s="50"/>
      <c r="M70" s="25">
        <f t="shared" ref="M70:M133" si="102">IF(AND(ISBLANK(A70),ISBLANK(E70)),0,IF(ISBLANK(E70),IF(A70="Pilihan Ganda","S",IF(A70="Jawaban Jamak","M",IF(A70="Uraian Panjang","T",IF(A70="Esai Koreksi Otomatis","T","O")))),IF(E70="v",1,0)))</f>
        <v>0</v>
      </c>
      <c r="N70" s="25" t="str">
        <f t="shared" si="20"/>
        <v/>
      </c>
      <c r="O70" s="26" t="str">
        <f t="shared" ref="O70:O133" si="103">IF(ISBLANK(B70),"",B70)</f>
        <v/>
      </c>
      <c r="P70" s="26">
        <f t="shared" ref="P70:P133" si="104">IF(ISBLANK(D70),0,1)</f>
        <v>0</v>
      </c>
      <c r="Q70" s="20" t="s">
        <v>41</v>
      </c>
      <c r="R70" s="20">
        <f t="shared" si="96"/>
        <v>0</v>
      </c>
      <c r="S70" s="20">
        <f t="shared" si="97"/>
        <v>0</v>
      </c>
      <c r="T70" s="20">
        <f t="shared" ref="T70:T133" si="105">H70</f>
        <v>0</v>
      </c>
      <c r="U70" s="20">
        <f t="shared" ref="U70:U133" si="106">I70</f>
        <v>0</v>
      </c>
      <c r="V70" s="20" t="str">
        <f t="shared" si="98"/>
        <v/>
      </c>
      <c r="W70" s="20" t="str">
        <f t="shared" si="99"/>
        <v/>
      </c>
      <c r="X70" s="20" t="str">
        <f t="shared" ref="X70:X133" si="107">CONCATENATE(V70,SUBSTITUTE(D70,CHAR(34),"&amp;quot;"),AB70,W70,AC70,AD70)</f>
        <v/>
      </c>
      <c r="Y70">
        <f t="shared" ref="Y70:Y133" si="108">COUNTIF(E70:E75,"v")</f>
        <v>0</v>
      </c>
      <c r="Z70">
        <f t="shared" ref="Z70:Z133" si="109">M70</f>
        <v>0</v>
      </c>
      <c r="AA70" s="14" t="b">
        <f t="shared" si="100"/>
        <v>0</v>
      </c>
      <c r="AB70" s="28" t="str">
        <f t="shared" ref="AB70:AB133" si="110">IF(LEN(C70)&gt;1,IF(A70="Menjodohkan",CONCATENATE("&lt;div id='tmfmatchsub' style='background:#bbdefb; border:1px solid #2196f3; padding:5px 10px'&gt;
&lt;ol&gt;","&lt;li&gt;",E71,"&lt;/li&gt;","&lt;li&gt;",E72,"&lt;/li&gt;","&lt;li&gt;",E73,"&lt;/li&gt;","&lt;li&gt;",E74,"&lt;/li&gt;","&lt;li&gt;",E75,"&lt;/li&gt;&lt;/ol&gt;&lt;/div&gt;"),"&amp;nbsp;"),"")</f>
        <v/>
      </c>
      <c r="AC70" s="20" t="str">
        <f t="shared" ref="AC70:AC133" si="111">IF(ISBLANK(J70),"",CONCATENATE("&lt;br/&gt;&lt;audio controls&gt;&lt;source src='",Q70,R70,"/",S70,"/",J70,"'&gt;Your browser does not support the audio element.&lt;/audio&gt;"))</f>
        <v/>
      </c>
      <c r="AD70" s="20" t="str">
        <f t="shared" ref="AD70:AD133" si="112">IF(ISBLANK(K70),"",CONCATENATE("&lt;br/&gt;&lt;video controls&gt;&lt;source src='",Q70,R70,"/",S70,"/",K70,"'&gt;Your browser does not support the video element.&lt;/video&gt;"))</f>
        <v/>
      </c>
    </row>
    <row r="71" spans="1:30" ht="15" customHeight="1">
      <c r="A71" s="54"/>
      <c r="B71" s="59" t="str">
        <f t="shared" ref="B71" si="113">IF(LEN(A71)&lt;1,"",IF(ISBLANK(B65),"",B65+1))</f>
        <v/>
      </c>
      <c r="C71" s="35" t="str">
        <f t="shared" ref="C71" si="114">IF(ISBLANK(A71),"",IF(A71="Uraian Panjang","Teks Uraian","Teks Soal"))</f>
        <v/>
      </c>
      <c r="D71" s="40"/>
      <c r="E71" s="41"/>
      <c r="F71" s="52" t="str">
        <f t="shared" ref="F71" si="115">IF(ISBLANK(A71),"",IF(A71="Pilihan Ganda","Centang salah satu jawaban disamping pada kolom KUNCI",IF(A71="Jawaban Jamak","Centang beberapa jawaban disamping pada kolom KUNCI",IF(A71="Uraian Panjang","Pastikan tidak ada jawaban yang tercentang pada kolom KUNCI",IF(A71="Esai Koreksi Otomatis","Kunci jawaban adalah teks opsi dan centang opsi tersebut pada kolom KUNCI","ISIKAN JODOHNYA PADA KOLOM KUNCI")))))</f>
        <v/>
      </c>
      <c r="G71" s="56" t="str">
        <f>IF(LEN(A71)&lt;1,"",IF(AA71=FALSE,"Ada kesalahan, mohon perhatikan kolom KETERANGAN",""))</f>
        <v/>
      </c>
      <c r="H71" s="40"/>
      <c r="I71" s="40"/>
      <c r="J71" s="46"/>
      <c r="K71" s="47"/>
      <c r="M71" s="25">
        <f t="shared" si="102"/>
        <v>0</v>
      </c>
      <c r="N71" s="25" t="str">
        <f t="shared" si="20"/>
        <v/>
      </c>
      <c r="O71" s="26" t="str">
        <f t="shared" si="103"/>
        <v/>
      </c>
      <c r="P71" s="26">
        <f t="shared" si="104"/>
        <v>0</v>
      </c>
      <c r="Q71" s="20" t="s">
        <v>41</v>
      </c>
      <c r="R71" s="20">
        <f t="shared" si="96"/>
        <v>0</v>
      </c>
      <c r="S71" s="20">
        <f t="shared" si="97"/>
        <v>0</v>
      </c>
      <c r="T71" s="20">
        <f t="shared" si="105"/>
        <v>0</v>
      </c>
      <c r="U71" s="20">
        <f t="shared" si="106"/>
        <v>0</v>
      </c>
      <c r="V71" s="20" t="str">
        <f t="shared" si="98"/>
        <v/>
      </c>
      <c r="W71" s="20" t="str">
        <f t="shared" si="99"/>
        <v/>
      </c>
      <c r="X71" s="20" t="str">
        <f t="shared" si="107"/>
        <v/>
      </c>
      <c r="Y71">
        <f t="shared" si="108"/>
        <v>0</v>
      </c>
      <c r="Z71">
        <f t="shared" si="109"/>
        <v>0</v>
      </c>
      <c r="AA71" s="14" t="b">
        <f t="shared" si="100"/>
        <v>0</v>
      </c>
      <c r="AB71" s="28" t="str">
        <f t="shared" si="110"/>
        <v/>
      </c>
      <c r="AC71" s="20" t="str">
        <f t="shared" si="111"/>
        <v/>
      </c>
      <c r="AD71" s="20" t="str">
        <f t="shared" si="112"/>
        <v/>
      </c>
    </row>
    <row r="72" spans="1:30" ht="15" customHeight="1">
      <c r="A72" s="54"/>
      <c r="B72" s="60"/>
      <c r="C72" s="33" t="str">
        <f t="shared" ref="C72" si="116">IF(C71="Teks Uraian","",IF(OR(LEN(C71)&lt;1,LEN(D72)&lt;1),"","A"))</f>
        <v/>
      </c>
      <c r="D72" s="38"/>
      <c r="E72" s="44"/>
      <c r="F72" s="52"/>
      <c r="G72" s="57"/>
      <c r="H72" s="38"/>
      <c r="I72" s="38"/>
      <c r="J72" s="48"/>
      <c r="K72" s="49"/>
      <c r="M72" s="25">
        <f t="shared" si="102"/>
        <v>0</v>
      </c>
      <c r="N72" s="25" t="str">
        <f t="shared" si="20"/>
        <v/>
      </c>
      <c r="O72" s="26" t="str">
        <f t="shared" si="103"/>
        <v/>
      </c>
      <c r="P72" s="26">
        <f t="shared" si="104"/>
        <v>0</v>
      </c>
      <c r="Q72" s="20" t="s">
        <v>41</v>
      </c>
      <c r="R72" s="20">
        <f t="shared" si="96"/>
        <v>0</v>
      </c>
      <c r="S72" s="20">
        <f t="shared" si="97"/>
        <v>0</v>
      </c>
      <c r="T72" s="20">
        <f t="shared" si="105"/>
        <v>0</v>
      </c>
      <c r="U72" s="20">
        <f t="shared" si="106"/>
        <v>0</v>
      </c>
      <c r="V72" s="20" t="str">
        <f t="shared" si="98"/>
        <v/>
      </c>
      <c r="W72" s="20" t="str">
        <f t="shared" si="99"/>
        <v/>
      </c>
      <c r="X72" s="20" t="str">
        <f t="shared" si="107"/>
        <v/>
      </c>
      <c r="Y72">
        <f t="shared" si="108"/>
        <v>0</v>
      </c>
      <c r="Z72">
        <f t="shared" si="109"/>
        <v>0</v>
      </c>
      <c r="AA72" s="14" t="b">
        <f t="shared" si="100"/>
        <v>0</v>
      </c>
      <c r="AB72" s="28" t="str">
        <f t="shared" si="110"/>
        <v/>
      </c>
      <c r="AC72" s="20" t="str">
        <f t="shared" si="111"/>
        <v/>
      </c>
      <c r="AD72" s="20" t="str">
        <f t="shared" si="112"/>
        <v/>
      </c>
    </row>
    <row r="73" spans="1:30" ht="15" customHeight="1">
      <c r="A73" s="54"/>
      <c r="B73" s="60"/>
      <c r="C73" s="33" t="str">
        <f t="shared" ref="C73" si="117">IF(OR(LEN(C72)&lt;1,LEN(D72)&lt;1),"","B")</f>
        <v/>
      </c>
      <c r="D73" s="38"/>
      <c r="E73" s="44"/>
      <c r="F73" s="52"/>
      <c r="G73" s="57"/>
      <c r="H73" s="38"/>
      <c r="I73" s="38"/>
      <c r="J73" s="48"/>
      <c r="K73" s="49"/>
      <c r="M73" s="25">
        <f t="shared" si="102"/>
        <v>0</v>
      </c>
      <c r="N73" s="25" t="str">
        <f t="shared" si="20"/>
        <v/>
      </c>
      <c r="O73" s="26" t="str">
        <f t="shared" si="103"/>
        <v/>
      </c>
      <c r="P73" s="26">
        <f t="shared" si="104"/>
        <v>0</v>
      </c>
      <c r="Q73" s="20" t="s">
        <v>41</v>
      </c>
      <c r="R73" s="20">
        <f t="shared" si="96"/>
        <v>0</v>
      </c>
      <c r="S73" s="20">
        <f t="shared" si="97"/>
        <v>0</v>
      </c>
      <c r="T73" s="20">
        <f t="shared" si="105"/>
        <v>0</v>
      </c>
      <c r="U73" s="20">
        <f t="shared" si="106"/>
        <v>0</v>
      </c>
      <c r="V73" s="20" t="str">
        <f t="shared" si="98"/>
        <v/>
      </c>
      <c r="W73" s="20" t="str">
        <f t="shared" si="99"/>
        <v/>
      </c>
      <c r="X73" s="20" t="str">
        <f t="shared" si="107"/>
        <v/>
      </c>
      <c r="Y73">
        <f t="shared" si="108"/>
        <v>0</v>
      </c>
      <c r="Z73">
        <f t="shared" si="109"/>
        <v>0</v>
      </c>
      <c r="AA73" s="14" t="b">
        <f t="shared" si="100"/>
        <v>0</v>
      </c>
      <c r="AB73" s="28" t="str">
        <f t="shared" si="110"/>
        <v/>
      </c>
      <c r="AC73" s="20" t="str">
        <f t="shared" si="111"/>
        <v/>
      </c>
      <c r="AD73" s="20" t="str">
        <f t="shared" si="112"/>
        <v/>
      </c>
    </row>
    <row r="74" spans="1:30" ht="15" customHeight="1">
      <c r="A74" s="54"/>
      <c r="B74" s="60"/>
      <c r="C74" s="33" t="str">
        <f t="shared" ref="C74" si="118">IF(OR(LEN(C73)&lt;1,LEN(D74)&lt;1),"","C")</f>
        <v/>
      </c>
      <c r="D74" s="38"/>
      <c r="E74" s="42"/>
      <c r="F74" s="52"/>
      <c r="G74" s="57"/>
      <c r="H74" s="38"/>
      <c r="I74" s="38"/>
      <c r="J74" s="48"/>
      <c r="K74" s="49"/>
      <c r="M74" s="25">
        <f t="shared" si="102"/>
        <v>0</v>
      </c>
      <c r="N74" s="25" t="str">
        <f t="shared" si="20"/>
        <v/>
      </c>
      <c r="O74" s="26" t="str">
        <f t="shared" si="103"/>
        <v/>
      </c>
      <c r="P74" s="26">
        <f t="shared" si="104"/>
        <v>0</v>
      </c>
      <c r="Q74" s="20" t="s">
        <v>41</v>
      </c>
      <c r="R74" s="20">
        <f t="shared" si="96"/>
        <v>0</v>
      </c>
      <c r="S74" s="20">
        <f t="shared" si="97"/>
        <v>0</v>
      </c>
      <c r="T74" s="20">
        <f t="shared" si="105"/>
        <v>0</v>
      </c>
      <c r="U74" s="20">
        <f t="shared" si="106"/>
        <v>0</v>
      </c>
      <c r="V74" s="20" t="str">
        <f t="shared" si="98"/>
        <v/>
      </c>
      <c r="W74" s="20" t="str">
        <f t="shared" si="99"/>
        <v/>
      </c>
      <c r="X74" s="20" t="str">
        <f t="shared" si="107"/>
        <v/>
      </c>
      <c r="Y74">
        <f t="shared" si="108"/>
        <v>0</v>
      </c>
      <c r="Z74">
        <f t="shared" si="109"/>
        <v>0</v>
      </c>
      <c r="AA74" s="14" t="b">
        <f t="shared" si="100"/>
        <v>0</v>
      </c>
      <c r="AB74" s="28" t="str">
        <f t="shared" si="110"/>
        <v/>
      </c>
      <c r="AC74" s="20" t="str">
        <f t="shared" si="111"/>
        <v/>
      </c>
      <c r="AD74" s="20" t="str">
        <f t="shared" si="112"/>
        <v/>
      </c>
    </row>
    <row r="75" spans="1:30" ht="15" customHeight="1">
      <c r="A75" s="54"/>
      <c r="B75" s="60"/>
      <c r="C75" s="33" t="str">
        <f t="shared" ref="C75" si="119">IF(OR(LEN(C74)&lt;1,LEN(D75)&lt;1),"","D")</f>
        <v/>
      </c>
      <c r="D75" s="38"/>
      <c r="E75" s="44"/>
      <c r="F75" s="52"/>
      <c r="G75" s="57"/>
      <c r="H75" s="38"/>
      <c r="I75" s="38"/>
      <c r="J75" s="48"/>
      <c r="K75" s="49"/>
      <c r="M75" s="25">
        <f t="shared" si="102"/>
        <v>0</v>
      </c>
      <c r="N75" s="25" t="str">
        <f t="shared" si="20"/>
        <v/>
      </c>
      <c r="O75" s="26" t="str">
        <f t="shared" si="103"/>
        <v/>
      </c>
      <c r="P75" s="26">
        <f t="shared" si="104"/>
        <v>0</v>
      </c>
      <c r="Q75" s="20" t="s">
        <v>41</v>
      </c>
      <c r="R75" s="20">
        <f t="shared" si="96"/>
        <v>0</v>
      </c>
      <c r="S75" s="20">
        <f t="shared" si="97"/>
        <v>0</v>
      </c>
      <c r="T75" s="20">
        <f t="shared" si="105"/>
        <v>0</v>
      </c>
      <c r="U75" s="20">
        <f t="shared" si="106"/>
        <v>0</v>
      </c>
      <c r="V75" s="20" t="str">
        <f t="shared" si="98"/>
        <v/>
      </c>
      <c r="W75" s="20" t="str">
        <f t="shared" si="99"/>
        <v/>
      </c>
      <c r="X75" s="20" t="str">
        <f t="shared" si="107"/>
        <v/>
      </c>
      <c r="Y75">
        <f t="shared" si="108"/>
        <v>0</v>
      </c>
      <c r="Z75">
        <f t="shared" si="109"/>
        <v>0</v>
      </c>
      <c r="AA75" s="14" t="b">
        <f t="shared" si="100"/>
        <v>0</v>
      </c>
      <c r="AB75" s="28" t="str">
        <f t="shared" si="110"/>
        <v/>
      </c>
      <c r="AC75" s="20" t="str">
        <f t="shared" si="111"/>
        <v/>
      </c>
      <c r="AD75" s="20" t="str">
        <f t="shared" si="112"/>
        <v/>
      </c>
    </row>
    <row r="76" spans="1:30" ht="15.75" customHeight="1" thickBot="1">
      <c r="A76" s="55"/>
      <c r="B76" s="61"/>
      <c r="C76" s="36" t="str">
        <f t="shared" ref="C76" si="120">IF(OR(LEN(C75)&lt;1,LEN(D76)&lt;1),"","E")</f>
        <v/>
      </c>
      <c r="D76" s="39"/>
      <c r="E76" s="45"/>
      <c r="F76" s="53"/>
      <c r="G76" s="58"/>
      <c r="H76" s="39"/>
      <c r="I76" s="39"/>
      <c r="J76" s="39"/>
      <c r="K76" s="50"/>
      <c r="M76" s="25">
        <f t="shared" si="102"/>
        <v>0</v>
      </c>
      <c r="N76" s="25" t="str">
        <f t="shared" ref="N76:N139" si="121">IF(LEN(C76)&gt;1,1,IF(C76="A",1,IF(C76="B",2,IF(C76="C",3,IF(C76="D",4,IF(C76="E",5,""))))))</f>
        <v/>
      </c>
      <c r="O76" s="26" t="str">
        <f t="shared" si="103"/>
        <v/>
      </c>
      <c r="P76" s="26">
        <f t="shared" si="104"/>
        <v>0</v>
      </c>
      <c r="Q76" s="20" t="s">
        <v>41</v>
      </c>
      <c r="R76" s="20">
        <f t="shared" si="96"/>
        <v>0</v>
      </c>
      <c r="S76" s="20">
        <f t="shared" si="97"/>
        <v>0</v>
      </c>
      <c r="T76" s="20">
        <f t="shared" si="105"/>
        <v>0</v>
      </c>
      <c r="U76" s="20">
        <f t="shared" si="106"/>
        <v>0</v>
      </c>
      <c r="V76" s="20" t="str">
        <f t="shared" si="98"/>
        <v/>
      </c>
      <c r="W76" s="20" t="str">
        <f t="shared" si="99"/>
        <v/>
      </c>
      <c r="X76" s="20" t="str">
        <f t="shared" si="107"/>
        <v/>
      </c>
      <c r="Y76">
        <f t="shared" si="108"/>
        <v>0</v>
      </c>
      <c r="Z76">
        <f t="shared" si="109"/>
        <v>0</v>
      </c>
      <c r="AA76" s="14" t="b">
        <f t="shared" si="100"/>
        <v>0</v>
      </c>
      <c r="AB76" s="28" t="str">
        <f t="shared" si="110"/>
        <v/>
      </c>
      <c r="AC76" s="20" t="str">
        <f t="shared" si="111"/>
        <v/>
      </c>
      <c r="AD76" s="20" t="str">
        <f t="shared" si="112"/>
        <v/>
      </c>
    </row>
    <row r="77" spans="1:30" ht="15" customHeight="1">
      <c r="A77" s="54"/>
      <c r="B77" s="59" t="str">
        <f t="shared" ref="B77" si="122">IF(LEN(A77)&lt;1,"",IF(ISBLANK(B71),"",B71+1))</f>
        <v/>
      </c>
      <c r="C77" s="35" t="str">
        <f t="shared" ref="C77" si="123">IF(ISBLANK(A77),"",IF(A77="Uraian Panjang","Teks Uraian","Teks Soal"))</f>
        <v/>
      </c>
      <c r="D77" s="40"/>
      <c r="E77" s="41"/>
      <c r="F77" s="52" t="str">
        <f t="shared" ref="F77" si="124">IF(ISBLANK(A77),"",IF(A77="Pilihan Ganda","Centang salah satu jawaban disamping pada kolom KUNCI",IF(A77="Jawaban Jamak","Centang beberapa jawaban disamping pada kolom KUNCI",IF(A77="Uraian Panjang","Pastikan tidak ada jawaban yang tercentang pada kolom KUNCI",IF(A77="Esai Koreksi Otomatis","Kunci jawaban adalah teks opsi dan centang opsi tersebut pada kolom KUNCI","ISIKAN JODOHNYA PADA KOLOM KUNCI")))))</f>
        <v/>
      </c>
      <c r="G77" s="56" t="str">
        <f>IF(LEN(A77)&lt;1,"",IF(AA77=FALSE,"Ada kesalahan, mohon perhatikan kolom KETERANGAN",""))</f>
        <v/>
      </c>
      <c r="H77" s="40"/>
      <c r="I77" s="40"/>
      <c r="J77" s="46"/>
      <c r="K77" s="47"/>
      <c r="M77" s="25">
        <f t="shared" si="102"/>
        <v>0</v>
      </c>
      <c r="N77" s="25" t="str">
        <f t="shared" si="121"/>
        <v/>
      </c>
      <c r="O77" s="26" t="str">
        <f t="shared" si="103"/>
        <v/>
      </c>
      <c r="P77" s="26">
        <f t="shared" si="104"/>
        <v>0</v>
      </c>
      <c r="Q77" s="20" t="s">
        <v>41</v>
      </c>
      <c r="R77" s="20">
        <f t="shared" si="96"/>
        <v>0</v>
      </c>
      <c r="S77" s="20">
        <f t="shared" si="97"/>
        <v>0</v>
      </c>
      <c r="T77" s="20">
        <f t="shared" si="105"/>
        <v>0</v>
      </c>
      <c r="U77" s="20">
        <f t="shared" si="106"/>
        <v>0</v>
      </c>
      <c r="V77" s="20" t="str">
        <f t="shared" si="98"/>
        <v/>
      </c>
      <c r="W77" s="20" t="str">
        <f t="shared" si="99"/>
        <v/>
      </c>
      <c r="X77" s="20" t="str">
        <f t="shared" si="107"/>
        <v/>
      </c>
      <c r="Y77">
        <f t="shared" si="108"/>
        <v>0</v>
      </c>
      <c r="Z77">
        <f t="shared" si="109"/>
        <v>0</v>
      </c>
      <c r="AA77" s="14" t="b">
        <f t="shared" si="100"/>
        <v>0</v>
      </c>
      <c r="AB77" s="28" t="str">
        <f t="shared" si="110"/>
        <v/>
      </c>
      <c r="AC77" s="20" t="str">
        <f t="shared" si="111"/>
        <v/>
      </c>
      <c r="AD77" s="20" t="str">
        <f t="shared" si="112"/>
        <v/>
      </c>
    </row>
    <row r="78" spans="1:30" ht="15" customHeight="1">
      <c r="A78" s="54"/>
      <c r="B78" s="60"/>
      <c r="C78" s="33" t="str">
        <f t="shared" ref="C78" si="125">IF(C77="Teks Uraian","",IF(OR(LEN(C77)&lt;1,LEN(D78)&lt;1),"","A"))</f>
        <v/>
      </c>
      <c r="D78" s="38"/>
      <c r="E78" s="44"/>
      <c r="F78" s="52"/>
      <c r="G78" s="57"/>
      <c r="H78" s="38"/>
      <c r="I78" s="38"/>
      <c r="J78" s="48"/>
      <c r="K78" s="49"/>
      <c r="M78" s="25">
        <f t="shared" si="102"/>
        <v>0</v>
      </c>
      <c r="N78" s="25" t="str">
        <f t="shared" si="121"/>
        <v/>
      </c>
      <c r="O78" s="26" t="str">
        <f t="shared" si="103"/>
        <v/>
      </c>
      <c r="P78" s="26">
        <f t="shared" si="104"/>
        <v>0</v>
      </c>
      <c r="Q78" s="20" t="s">
        <v>41</v>
      </c>
      <c r="R78" s="20">
        <f t="shared" si="96"/>
        <v>0</v>
      </c>
      <c r="S78" s="20">
        <f t="shared" si="97"/>
        <v>0</v>
      </c>
      <c r="T78" s="20">
        <f t="shared" si="105"/>
        <v>0</v>
      </c>
      <c r="U78" s="20">
        <f t="shared" si="106"/>
        <v>0</v>
      </c>
      <c r="V78" s="20" t="str">
        <f t="shared" si="98"/>
        <v/>
      </c>
      <c r="W78" s="20" t="str">
        <f t="shared" si="99"/>
        <v/>
      </c>
      <c r="X78" s="20" t="str">
        <f t="shared" si="107"/>
        <v/>
      </c>
      <c r="Y78">
        <f t="shared" si="108"/>
        <v>0</v>
      </c>
      <c r="Z78">
        <f t="shared" si="109"/>
        <v>0</v>
      </c>
      <c r="AA78" s="14" t="b">
        <f t="shared" si="100"/>
        <v>0</v>
      </c>
      <c r="AB78" s="28" t="str">
        <f t="shared" si="110"/>
        <v/>
      </c>
      <c r="AC78" s="20" t="str">
        <f t="shared" si="111"/>
        <v/>
      </c>
      <c r="AD78" s="20" t="str">
        <f t="shared" si="112"/>
        <v/>
      </c>
    </row>
    <row r="79" spans="1:30" ht="15" customHeight="1">
      <c r="A79" s="54"/>
      <c r="B79" s="60"/>
      <c r="C79" s="33" t="str">
        <f t="shared" ref="C79" si="126">IF(OR(LEN(C78)&lt;1,LEN(D78)&lt;1),"","B")</f>
        <v/>
      </c>
      <c r="D79" s="38"/>
      <c r="E79" s="44"/>
      <c r="F79" s="52"/>
      <c r="G79" s="57"/>
      <c r="H79" s="38"/>
      <c r="I79" s="38"/>
      <c r="J79" s="48"/>
      <c r="K79" s="49"/>
      <c r="M79" s="25">
        <f t="shared" si="102"/>
        <v>0</v>
      </c>
      <c r="N79" s="25" t="str">
        <f t="shared" si="121"/>
        <v/>
      </c>
      <c r="O79" s="26" t="str">
        <f t="shared" si="103"/>
        <v/>
      </c>
      <c r="P79" s="26">
        <f t="shared" si="104"/>
        <v>0</v>
      </c>
      <c r="Q79" s="20" t="s">
        <v>41</v>
      </c>
      <c r="R79" s="20">
        <f t="shared" si="96"/>
        <v>0</v>
      </c>
      <c r="S79" s="20">
        <f t="shared" si="97"/>
        <v>0</v>
      </c>
      <c r="T79" s="20">
        <f t="shared" si="105"/>
        <v>0</v>
      </c>
      <c r="U79" s="20">
        <f t="shared" si="106"/>
        <v>0</v>
      </c>
      <c r="V79" s="20" t="str">
        <f t="shared" si="98"/>
        <v/>
      </c>
      <c r="W79" s="20" t="str">
        <f t="shared" si="99"/>
        <v/>
      </c>
      <c r="X79" s="20" t="str">
        <f t="shared" si="107"/>
        <v/>
      </c>
      <c r="Y79">
        <f t="shared" si="108"/>
        <v>0</v>
      </c>
      <c r="Z79">
        <f t="shared" si="109"/>
        <v>0</v>
      </c>
      <c r="AA79" s="14" t="b">
        <f t="shared" si="100"/>
        <v>0</v>
      </c>
      <c r="AB79" s="28" t="str">
        <f t="shared" si="110"/>
        <v/>
      </c>
      <c r="AC79" s="20" t="str">
        <f t="shared" si="111"/>
        <v/>
      </c>
      <c r="AD79" s="20" t="str">
        <f t="shared" si="112"/>
        <v/>
      </c>
    </row>
    <row r="80" spans="1:30" ht="15" customHeight="1">
      <c r="A80" s="54"/>
      <c r="B80" s="60"/>
      <c r="C80" s="33" t="str">
        <f t="shared" ref="C80" si="127">IF(OR(LEN(C79)&lt;1,LEN(D80)&lt;1),"","C")</f>
        <v/>
      </c>
      <c r="D80" s="38"/>
      <c r="E80" s="42"/>
      <c r="F80" s="52"/>
      <c r="G80" s="57"/>
      <c r="H80" s="38"/>
      <c r="I80" s="38"/>
      <c r="J80" s="48"/>
      <c r="K80" s="49"/>
      <c r="M80" s="25">
        <f t="shared" si="102"/>
        <v>0</v>
      </c>
      <c r="N80" s="25" t="str">
        <f t="shared" si="121"/>
        <v/>
      </c>
      <c r="O80" s="26" t="str">
        <f t="shared" si="103"/>
        <v/>
      </c>
      <c r="P80" s="26">
        <f t="shared" si="104"/>
        <v>0</v>
      </c>
      <c r="Q80" s="20" t="s">
        <v>41</v>
      </c>
      <c r="R80" s="20">
        <f t="shared" si="96"/>
        <v>0</v>
      </c>
      <c r="S80" s="20">
        <f t="shared" si="97"/>
        <v>0</v>
      </c>
      <c r="T80" s="20">
        <f t="shared" si="105"/>
        <v>0</v>
      </c>
      <c r="U80" s="20">
        <f t="shared" si="106"/>
        <v>0</v>
      </c>
      <c r="V80" s="20" t="str">
        <f t="shared" si="98"/>
        <v/>
      </c>
      <c r="W80" s="20" t="str">
        <f t="shared" si="99"/>
        <v/>
      </c>
      <c r="X80" s="20" t="str">
        <f t="shared" si="107"/>
        <v/>
      </c>
      <c r="Y80">
        <f t="shared" si="108"/>
        <v>0</v>
      </c>
      <c r="Z80">
        <f t="shared" si="109"/>
        <v>0</v>
      </c>
      <c r="AA80" s="14" t="b">
        <f t="shared" si="100"/>
        <v>0</v>
      </c>
      <c r="AB80" s="28" t="str">
        <f t="shared" si="110"/>
        <v/>
      </c>
      <c r="AC80" s="20" t="str">
        <f t="shared" si="111"/>
        <v/>
      </c>
      <c r="AD80" s="20" t="str">
        <f t="shared" si="112"/>
        <v/>
      </c>
    </row>
    <row r="81" spans="1:30" ht="15" customHeight="1">
      <c r="A81" s="54"/>
      <c r="B81" s="60"/>
      <c r="C81" s="33" t="str">
        <f t="shared" ref="C81" si="128">IF(OR(LEN(C80)&lt;1,LEN(D81)&lt;1),"","D")</f>
        <v/>
      </c>
      <c r="D81" s="38"/>
      <c r="E81" s="44"/>
      <c r="F81" s="52"/>
      <c r="G81" s="57"/>
      <c r="H81" s="38"/>
      <c r="I81" s="38"/>
      <c r="J81" s="48"/>
      <c r="K81" s="49"/>
      <c r="M81" s="25">
        <f t="shared" si="102"/>
        <v>0</v>
      </c>
      <c r="N81" s="25" t="str">
        <f t="shared" si="121"/>
        <v/>
      </c>
      <c r="O81" s="26" t="str">
        <f t="shared" si="103"/>
        <v/>
      </c>
      <c r="P81" s="26">
        <f t="shared" si="104"/>
        <v>0</v>
      </c>
      <c r="Q81" s="20" t="s">
        <v>41</v>
      </c>
      <c r="R81" s="20">
        <f t="shared" si="96"/>
        <v>0</v>
      </c>
      <c r="S81" s="20">
        <f t="shared" si="97"/>
        <v>0</v>
      </c>
      <c r="T81" s="20">
        <f t="shared" si="105"/>
        <v>0</v>
      </c>
      <c r="U81" s="20">
        <f t="shared" si="106"/>
        <v>0</v>
      </c>
      <c r="V81" s="20" t="str">
        <f t="shared" si="98"/>
        <v/>
      </c>
      <c r="W81" s="20" t="str">
        <f t="shared" si="99"/>
        <v/>
      </c>
      <c r="X81" s="20" t="str">
        <f t="shared" si="107"/>
        <v/>
      </c>
      <c r="Y81">
        <f t="shared" si="108"/>
        <v>0</v>
      </c>
      <c r="Z81">
        <f t="shared" si="109"/>
        <v>0</v>
      </c>
      <c r="AA81" s="14" t="b">
        <f t="shared" si="100"/>
        <v>0</v>
      </c>
      <c r="AB81" s="28" t="str">
        <f t="shared" si="110"/>
        <v/>
      </c>
      <c r="AC81" s="20" t="str">
        <f t="shared" si="111"/>
        <v/>
      </c>
      <c r="AD81" s="20" t="str">
        <f t="shared" si="112"/>
        <v/>
      </c>
    </row>
    <row r="82" spans="1:30" ht="15.75" customHeight="1" thickBot="1">
      <c r="A82" s="55"/>
      <c r="B82" s="61"/>
      <c r="C82" s="36" t="str">
        <f t="shared" ref="C82" si="129">IF(OR(LEN(C81)&lt;1,LEN(D82)&lt;1),"","E")</f>
        <v/>
      </c>
      <c r="D82" s="39"/>
      <c r="E82" s="45"/>
      <c r="F82" s="53"/>
      <c r="G82" s="58"/>
      <c r="H82" s="39"/>
      <c r="I82" s="39"/>
      <c r="J82" s="39"/>
      <c r="K82" s="50"/>
      <c r="M82" s="25">
        <f t="shared" si="102"/>
        <v>0</v>
      </c>
      <c r="N82" s="25" t="str">
        <f t="shared" si="121"/>
        <v/>
      </c>
      <c r="O82" s="26" t="str">
        <f t="shared" si="103"/>
        <v/>
      </c>
      <c r="P82" s="26">
        <f t="shared" si="104"/>
        <v>0</v>
      </c>
      <c r="Q82" s="20" t="s">
        <v>41</v>
      </c>
      <c r="R82" s="20">
        <f t="shared" si="96"/>
        <v>0</v>
      </c>
      <c r="S82" s="20">
        <f t="shared" si="97"/>
        <v>0</v>
      </c>
      <c r="T82" s="20">
        <f t="shared" si="105"/>
        <v>0</v>
      </c>
      <c r="U82" s="20">
        <f t="shared" si="106"/>
        <v>0</v>
      </c>
      <c r="V82" s="20" t="str">
        <f t="shared" si="98"/>
        <v/>
      </c>
      <c r="W82" s="20" t="str">
        <f t="shared" si="99"/>
        <v/>
      </c>
      <c r="X82" s="20" t="str">
        <f t="shared" si="107"/>
        <v/>
      </c>
      <c r="Y82">
        <f t="shared" si="108"/>
        <v>0</v>
      </c>
      <c r="Z82">
        <f t="shared" si="109"/>
        <v>0</v>
      </c>
      <c r="AA82" s="14" t="b">
        <f t="shared" si="100"/>
        <v>0</v>
      </c>
      <c r="AB82" s="28" t="str">
        <f t="shared" si="110"/>
        <v/>
      </c>
      <c r="AC82" s="20" t="str">
        <f t="shared" si="111"/>
        <v/>
      </c>
      <c r="AD82" s="20" t="str">
        <f t="shared" si="112"/>
        <v/>
      </c>
    </row>
    <row r="83" spans="1:30" ht="15" customHeight="1">
      <c r="A83" s="54"/>
      <c r="B83" s="59" t="str">
        <f t="shared" ref="B83" si="130">IF(LEN(A83)&lt;1,"",IF(ISBLANK(B77),"",B77+1))</f>
        <v/>
      </c>
      <c r="C83" s="35" t="str">
        <f t="shared" ref="C83" si="131">IF(ISBLANK(A83),"",IF(A83="Uraian Panjang","Teks Uraian","Teks Soal"))</f>
        <v/>
      </c>
      <c r="D83" s="40"/>
      <c r="E83" s="41"/>
      <c r="F83" s="52" t="str">
        <f t="shared" ref="F83" si="132">IF(ISBLANK(A83),"",IF(A83="Pilihan Ganda","Centang salah satu jawaban disamping pada kolom KUNCI",IF(A83="Jawaban Jamak","Centang beberapa jawaban disamping pada kolom KUNCI",IF(A83="Uraian Panjang","Pastikan tidak ada jawaban yang tercentang pada kolom KUNCI",IF(A83="Esai Koreksi Otomatis","Kunci jawaban adalah teks opsi dan centang opsi tersebut pada kolom KUNCI","ISIKAN JODOHNYA PADA KOLOM KUNCI")))))</f>
        <v/>
      </c>
      <c r="G83" s="56" t="str">
        <f>IF(LEN(A83)&lt;1,"",IF(AA83=FALSE,"Ada kesalahan, mohon perhatikan kolom KETERANGAN",""))</f>
        <v/>
      </c>
      <c r="H83" s="40"/>
      <c r="I83" s="40"/>
      <c r="J83" s="46"/>
      <c r="K83" s="47"/>
      <c r="M83" s="25">
        <f t="shared" si="102"/>
        <v>0</v>
      </c>
      <c r="N83" s="25" t="str">
        <f t="shared" si="121"/>
        <v/>
      </c>
      <c r="O83" s="26" t="str">
        <f t="shared" si="103"/>
        <v/>
      </c>
      <c r="P83" s="26">
        <f t="shared" si="104"/>
        <v>0</v>
      </c>
      <c r="Q83" s="20" t="s">
        <v>41</v>
      </c>
      <c r="R83" s="20">
        <f t="shared" si="96"/>
        <v>0</v>
      </c>
      <c r="S83" s="20">
        <f t="shared" si="97"/>
        <v>0</v>
      </c>
      <c r="T83" s="20">
        <f t="shared" si="105"/>
        <v>0</v>
      </c>
      <c r="U83" s="20">
        <f t="shared" si="106"/>
        <v>0</v>
      </c>
      <c r="V83" s="20" t="str">
        <f t="shared" si="98"/>
        <v/>
      </c>
      <c r="W83" s="20" t="str">
        <f t="shared" si="99"/>
        <v/>
      </c>
      <c r="X83" s="20" t="str">
        <f t="shared" si="107"/>
        <v/>
      </c>
      <c r="Y83">
        <f t="shared" si="108"/>
        <v>0</v>
      </c>
      <c r="Z83">
        <f t="shared" si="109"/>
        <v>0</v>
      </c>
      <c r="AA83" s="14" t="b">
        <f t="shared" si="100"/>
        <v>0</v>
      </c>
      <c r="AB83" s="28" t="str">
        <f t="shared" si="110"/>
        <v/>
      </c>
      <c r="AC83" s="20" t="str">
        <f t="shared" si="111"/>
        <v/>
      </c>
      <c r="AD83" s="20" t="str">
        <f t="shared" si="112"/>
        <v/>
      </c>
    </row>
    <row r="84" spans="1:30" ht="15" customHeight="1">
      <c r="A84" s="54"/>
      <c r="B84" s="60"/>
      <c r="C84" s="33" t="str">
        <f t="shared" ref="C84" si="133">IF(C83="Teks Uraian","",IF(OR(LEN(C83)&lt;1,LEN(D84)&lt;1),"","A"))</f>
        <v/>
      </c>
      <c r="D84" s="38"/>
      <c r="E84" s="44"/>
      <c r="F84" s="52"/>
      <c r="G84" s="57"/>
      <c r="H84" s="38"/>
      <c r="I84" s="38"/>
      <c r="J84" s="48"/>
      <c r="K84" s="49"/>
      <c r="M84" s="25">
        <f t="shared" si="102"/>
        <v>0</v>
      </c>
      <c r="N84" s="25" t="str">
        <f t="shared" si="121"/>
        <v/>
      </c>
      <c r="O84" s="26" t="str">
        <f t="shared" si="103"/>
        <v/>
      </c>
      <c r="P84" s="26">
        <f t="shared" si="104"/>
        <v>0</v>
      </c>
      <c r="Q84" s="20" t="s">
        <v>41</v>
      </c>
      <c r="R84" s="20">
        <f t="shared" si="96"/>
        <v>0</v>
      </c>
      <c r="S84" s="20">
        <f t="shared" si="97"/>
        <v>0</v>
      </c>
      <c r="T84" s="20">
        <f t="shared" si="105"/>
        <v>0</v>
      </c>
      <c r="U84" s="20">
        <f t="shared" si="106"/>
        <v>0</v>
      </c>
      <c r="V84" s="20" t="str">
        <f t="shared" si="98"/>
        <v/>
      </c>
      <c r="W84" s="20" t="str">
        <f t="shared" si="99"/>
        <v/>
      </c>
      <c r="X84" s="20" t="str">
        <f t="shared" si="107"/>
        <v/>
      </c>
      <c r="Y84">
        <f t="shared" si="108"/>
        <v>0</v>
      </c>
      <c r="Z84">
        <f t="shared" si="109"/>
        <v>0</v>
      </c>
      <c r="AA84" s="14" t="b">
        <f t="shared" si="100"/>
        <v>0</v>
      </c>
      <c r="AB84" s="28" t="str">
        <f t="shared" si="110"/>
        <v/>
      </c>
      <c r="AC84" s="20" t="str">
        <f t="shared" si="111"/>
        <v/>
      </c>
      <c r="AD84" s="20" t="str">
        <f t="shared" si="112"/>
        <v/>
      </c>
    </row>
    <row r="85" spans="1:30" ht="15" customHeight="1">
      <c r="A85" s="54"/>
      <c r="B85" s="60"/>
      <c r="C85" s="33" t="str">
        <f t="shared" ref="C85" si="134">IF(OR(LEN(C84)&lt;1,LEN(D84)&lt;1),"","B")</f>
        <v/>
      </c>
      <c r="D85" s="38"/>
      <c r="E85" s="44"/>
      <c r="F85" s="52"/>
      <c r="G85" s="57"/>
      <c r="H85" s="38"/>
      <c r="I85" s="38"/>
      <c r="J85" s="48"/>
      <c r="K85" s="49"/>
      <c r="M85" s="25">
        <f t="shared" si="102"/>
        <v>0</v>
      </c>
      <c r="N85" s="25" t="str">
        <f t="shared" si="121"/>
        <v/>
      </c>
      <c r="O85" s="26" t="str">
        <f t="shared" si="103"/>
        <v/>
      </c>
      <c r="P85" s="26">
        <f t="shared" si="104"/>
        <v>0</v>
      </c>
      <c r="Q85" s="20" t="s">
        <v>41</v>
      </c>
      <c r="R85" s="20">
        <f t="shared" si="96"/>
        <v>0</v>
      </c>
      <c r="S85" s="20">
        <f t="shared" si="97"/>
        <v>0</v>
      </c>
      <c r="T85" s="20">
        <f t="shared" si="105"/>
        <v>0</v>
      </c>
      <c r="U85" s="20">
        <f t="shared" si="106"/>
        <v>0</v>
      </c>
      <c r="V85" s="20" t="str">
        <f t="shared" si="98"/>
        <v/>
      </c>
      <c r="W85" s="20" t="str">
        <f t="shared" si="99"/>
        <v/>
      </c>
      <c r="X85" s="20" t="str">
        <f t="shared" si="107"/>
        <v/>
      </c>
      <c r="Y85">
        <f t="shared" si="108"/>
        <v>0</v>
      </c>
      <c r="Z85">
        <f t="shared" si="109"/>
        <v>0</v>
      </c>
      <c r="AA85" s="14" t="b">
        <f t="shared" si="100"/>
        <v>0</v>
      </c>
      <c r="AB85" s="28" t="str">
        <f t="shared" si="110"/>
        <v/>
      </c>
      <c r="AC85" s="20" t="str">
        <f t="shared" si="111"/>
        <v/>
      </c>
      <c r="AD85" s="20" t="str">
        <f t="shared" si="112"/>
        <v/>
      </c>
    </row>
    <row r="86" spans="1:30" ht="15" customHeight="1">
      <c r="A86" s="54"/>
      <c r="B86" s="60"/>
      <c r="C86" s="33" t="str">
        <f t="shared" ref="C86" si="135">IF(OR(LEN(C85)&lt;1,LEN(D86)&lt;1),"","C")</f>
        <v/>
      </c>
      <c r="D86" s="38"/>
      <c r="E86" s="42"/>
      <c r="F86" s="52"/>
      <c r="G86" s="57"/>
      <c r="H86" s="38"/>
      <c r="I86" s="38"/>
      <c r="J86" s="48"/>
      <c r="K86" s="49"/>
      <c r="M86" s="25">
        <f t="shared" si="102"/>
        <v>0</v>
      </c>
      <c r="N86" s="25" t="str">
        <f t="shared" si="121"/>
        <v/>
      </c>
      <c r="O86" s="26" t="str">
        <f t="shared" si="103"/>
        <v/>
      </c>
      <c r="P86" s="26">
        <f t="shared" si="104"/>
        <v>0</v>
      </c>
      <c r="Q86" s="20" t="s">
        <v>41</v>
      </c>
      <c r="R86" s="20">
        <f t="shared" si="96"/>
        <v>0</v>
      </c>
      <c r="S86" s="20">
        <f t="shared" si="97"/>
        <v>0</v>
      </c>
      <c r="T86" s="20">
        <f t="shared" si="105"/>
        <v>0</v>
      </c>
      <c r="U86" s="20">
        <f t="shared" si="106"/>
        <v>0</v>
      </c>
      <c r="V86" s="20" t="str">
        <f t="shared" si="98"/>
        <v/>
      </c>
      <c r="W86" s="20" t="str">
        <f t="shared" si="99"/>
        <v/>
      </c>
      <c r="X86" s="20" t="str">
        <f t="shared" si="107"/>
        <v/>
      </c>
      <c r="Y86">
        <f t="shared" si="108"/>
        <v>0</v>
      </c>
      <c r="Z86">
        <f t="shared" si="109"/>
        <v>0</v>
      </c>
      <c r="AA86" s="14" t="b">
        <f t="shared" si="100"/>
        <v>0</v>
      </c>
      <c r="AB86" s="28" t="str">
        <f t="shared" si="110"/>
        <v/>
      </c>
      <c r="AC86" s="20" t="str">
        <f t="shared" si="111"/>
        <v/>
      </c>
      <c r="AD86" s="20" t="str">
        <f t="shared" si="112"/>
        <v/>
      </c>
    </row>
    <row r="87" spans="1:30" ht="15" customHeight="1">
      <c r="A87" s="54"/>
      <c r="B87" s="60"/>
      <c r="C87" s="33" t="str">
        <f t="shared" ref="C87" si="136">IF(OR(LEN(C86)&lt;1,LEN(D87)&lt;1),"","D")</f>
        <v/>
      </c>
      <c r="D87" s="38"/>
      <c r="E87" s="44"/>
      <c r="F87" s="52"/>
      <c r="G87" s="57"/>
      <c r="H87" s="38"/>
      <c r="I87" s="38"/>
      <c r="J87" s="48"/>
      <c r="K87" s="49"/>
      <c r="M87" s="25">
        <f t="shared" si="102"/>
        <v>0</v>
      </c>
      <c r="N87" s="25" t="str">
        <f t="shared" si="121"/>
        <v/>
      </c>
      <c r="O87" s="26" t="str">
        <f t="shared" si="103"/>
        <v/>
      </c>
      <c r="P87" s="26">
        <f t="shared" si="104"/>
        <v>0</v>
      </c>
      <c r="Q87" s="20" t="s">
        <v>41</v>
      </c>
      <c r="R87" s="20">
        <f t="shared" si="96"/>
        <v>0</v>
      </c>
      <c r="S87" s="20">
        <f t="shared" si="97"/>
        <v>0</v>
      </c>
      <c r="T87" s="20">
        <f t="shared" si="105"/>
        <v>0</v>
      </c>
      <c r="U87" s="20">
        <f t="shared" si="106"/>
        <v>0</v>
      </c>
      <c r="V87" s="20" t="str">
        <f t="shared" si="98"/>
        <v/>
      </c>
      <c r="W87" s="20" t="str">
        <f t="shared" si="99"/>
        <v/>
      </c>
      <c r="X87" s="20" t="str">
        <f t="shared" si="107"/>
        <v/>
      </c>
      <c r="Y87">
        <f t="shared" si="108"/>
        <v>0</v>
      </c>
      <c r="Z87">
        <f t="shared" si="109"/>
        <v>0</v>
      </c>
      <c r="AA87" s="14" t="b">
        <f t="shared" si="100"/>
        <v>0</v>
      </c>
      <c r="AB87" s="28" t="str">
        <f t="shared" si="110"/>
        <v/>
      </c>
      <c r="AC87" s="20" t="str">
        <f t="shared" si="111"/>
        <v/>
      </c>
      <c r="AD87" s="20" t="str">
        <f t="shared" si="112"/>
        <v/>
      </c>
    </row>
    <row r="88" spans="1:30" ht="15.75" customHeight="1" thickBot="1">
      <c r="A88" s="55"/>
      <c r="B88" s="61"/>
      <c r="C88" s="36" t="str">
        <f t="shared" ref="C88" si="137">IF(OR(LEN(C87)&lt;1,LEN(D88)&lt;1),"","E")</f>
        <v/>
      </c>
      <c r="D88" s="39"/>
      <c r="E88" s="45"/>
      <c r="F88" s="53"/>
      <c r="G88" s="58"/>
      <c r="H88" s="39"/>
      <c r="I88" s="39"/>
      <c r="J88" s="39"/>
      <c r="K88" s="50"/>
      <c r="M88" s="25">
        <f t="shared" si="102"/>
        <v>0</v>
      </c>
      <c r="N88" s="25" t="str">
        <f t="shared" si="121"/>
        <v/>
      </c>
      <c r="O88" s="26" t="str">
        <f t="shared" si="103"/>
        <v/>
      </c>
      <c r="P88" s="26">
        <f t="shared" si="104"/>
        <v>0</v>
      </c>
      <c r="Q88" s="20" t="s">
        <v>41</v>
      </c>
      <c r="R88" s="20">
        <f t="shared" si="96"/>
        <v>0</v>
      </c>
      <c r="S88" s="20">
        <f t="shared" si="97"/>
        <v>0</v>
      </c>
      <c r="T88" s="20">
        <f t="shared" si="105"/>
        <v>0</v>
      </c>
      <c r="U88" s="20">
        <f t="shared" si="106"/>
        <v>0</v>
      </c>
      <c r="V88" s="20" t="str">
        <f t="shared" si="98"/>
        <v/>
      </c>
      <c r="W88" s="20" t="str">
        <f t="shared" si="99"/>
        <v/>
      </c>
      <c r="X88" s="20" t="str">
        <f t="shared" si="107"/>
        <v/>
      </c>
      <c r="Y88">
        <f t="shared" si="108"/>
        <v>0</v>
      </c>
      <c r="Z88">
        <f t="shared" si="109"/>
        <v>0</v>
      </c>
      <c r="AA88" s="14" t="b">
        <f t="shared" si="100"/>
        <v>0</v>
      </c>
      <c r="AB88" s="28" t="str">
        <f t="shared" si="110"/>
        <v/>
      </c>
      <c r="AC88" s="20" t="str">
        <f t="shared" si="111"/>
        <v/>
      </c>
      <c r="AD88" s="20" t="str">
        <f t="shared" si="112"/>
        <v/>
      </c>
    </row>
    <row r="89" spans="1:30" ht="15" customHeight="1">
      <c r="A89" s="54"/>
      <c r="B89" s="59" t="str">
        <f t="shared" ref="B89" si="138">IF(LEN(A89)&lt;1,"",IF(ISBLANK(B83),"",B83+1))</f>
        <v/>
      </c>
      <c r="C89" s="35" t="str">
        <f t="shared" ref="C89" si="139">IF(ISBLANK(A89),"",IF(A89="Uraian Panjang","Teks Uraian","Teks Soal"))</f>
        <v/>
      </c>
      <c r="D89" s="40"/>
      <c r="E89" s="41"/>
      <c r="F89" s="52" t="str">
        <f t="shared" ref="F89" si="140">IF(ISBLANK(A89),"",IF(A89="Pilihan Ganda","Centang salah satu jawaban disamping pada kolom KUNCI",IF(A89="Jawaban Jamak","Centang beberapa jawaban disamping pada kolom KUNCI",IF(A89="Uraian Panjang","Pastikan tidak ada jawaban yang tercentang pada kolom KUNCI",IF(A89="Esai Koreksi Otomatis","Kunci jawaban adalah teks opsi dan centang opsi tersebut pada kolom KUNCI","ISIKAN JODOHNYA PADA KOLOM KUNCI")))))</f>
        <v/>
      </c>
      <c r="G89" s="56" t="str">
        <f>IF(LEN(A89)&lt;1,"",IF(AA89=FALSE,"Ada kesalahan, mohon perhatikan kolom KETERANGAN",""))</f>
        <v/>
      </c>
      <c r="H89" s="40"/>
      <c r="I89" s="40"/>
      <c r="J89" s="46"/>
      <c r="K89" s="47"/>
      <c r="M89" s="25">
        <f t="shared" si="102"/>
        <v>0</v>
      </c>
      <c r="N89" s="25" t="str">
        <f t="shared" si="121"/>
        <v/>
      </c>
      <c r="O89" s="26" t="str">
        <f t="shared" si="103"/>
        <v/>
      </c>
      <c r="P89" s="26">
        <f t="shared" si="104"/>
        <v>0</v>
      </c>
      <c r="Q89" s="20" t="s">
        <v>41</v>
      </c>
      <c r="R89" s="20">
        <f t="shared" si="96"/>
        <v>0</v>
      </c>
      <c r="S89" s="20">
        <f t="shared" si="97"/>
        <v>0</v>
      </c>
      <c r="T89" s="20">
        <f t="shared" si="105"/>
        <v>0</v>
      </c>
      <c r="U89" s="20">
        <f t="shared" si="106"/>
        <v>0</v>
      </c>
      <c r="V89" s="20" t="str">
        <f t="shared" si="98"/>
        <v/>
      </c>
      <c r="W89" s="20" t="str">
        <f t="shared" si="99"/>
        <v/>
      </c>
      <c r="X89" s="20" t="str">
        <f t="shared" si="107"/>
        <v/>
      </c>
      <c r="Y89">
        <f t="shared" si="108"/>
        <v>0</v>
      </c>
      <c r="Z89">
        <f t="shared" si="109"/>
        <v>0</v>
      </c>
      <c r="AA89" s="14" t="b">
        <f t="shared" si="100"/>
        <v>0</v>
      </c>
      <c r="AB89" s="28" t="str">
        <f t="shared" si="110"/>
        <v/>
      </c>
      <c r="AC89" s="20" t="str">
        <f t="shared" si="111"/>
        <v/>
      </c>
      <c r="AD89" s="20" t="str">
        <f t="shared" si="112"/>
        <v/>
      </c>
    </row>
    <row r="90" spans="1:30" ht="15" customHeight="1">
      <c r="A90" s="54"/>
      <c r="B90" s="60"/>
      <c r="C90" s="33" t="str">
        <f t="shared" ref="C90" si="141">IF(C89="Teks Uraian","",IF(OR(LEN(C89)&lt;1,LEN(D90)&lt;1),"","A"))</f>
        <v/>
      </c>
      <c r="D90" s="38"/>
      <c r="E90" s="44"/>
      <c r="F90" s="52"/>
      <c r="G90" s="57"/>
      <c r="H90" s="38"/>
      <c r="I90" s="38"/>
      <c r="J90" s="48"/>
      <c r="K90" s="49"/>
      <c r="M90" s="25">
        <f t="shared" si="102"/>
        <v>0</v>
      </c>
      <c r="N90" s="25" t="str">
        <f t="shared" si="121"/>
        <v/>
      </c>
      <c r="O90" s="26" t="str">
        <f t="shared" si="103"/>
        <v/>
      </c>
      <c r="P90" s="26">
        <f t="shared" si="104"/>
        <v>0</v>
      </c>
      <c r="Q90" s="20" t="s">
        <v>41</v>
      </c>
      <c r="R90" s="20">
        <f t="shared" si="96"/>
        <v>0</v>
      </c>
      <c r="S90" s="20">
        <f t="shared" si="97"/>
        <v>0</v>
      </c>
      <c r="T90" s="20">
        <f t="shared" si="105"/>
        <v>0</v>
      </c>
      <c r="U90" s="20">
        <f t="shared" si="106"/>
        <v>0</v>
      </c>
      <c r="V90" s="20" t="str">
        <f t="shared" si="98"/>
        <v/>
      </c>
      <c r="W90" s="20" t="str">
        <f t="shared" si="99"/>
        <v/>
      </c>
      <c r="X90" s="20" t="str">
        <f t="shared" si="107"/>
        <v/>
      </c>
      <c r="Y90">
        <f t="shared" si="108"/>
        <v>0</v>
      </c>
      <c r="Z90">
        <f t="shared" si="109"/>
        <v>0</v>
      </c>
      <c r="AA90" s="14" t="b">
        <f t="shared" si="100"/>
        <v>0</v>
      </c>
      <c r="AB90" s="28" t="str">
        <f t="shared" si="110"/>
        <v/>
      </c>
      <c r="AC90" s="20" t="str">
        <f t="shared" si="111"/>
        <v/>
      </c>
      <c r="AD90" s="20" t="str">
        <f t="shared" si="112"/>
        <v/>
      </c>
    </row>
    <row r="91" spans="1:30" ht="15" customHeight="1">
      <c r="A91" s="54"/>
      <c r="B91" s="60"/>
      <c r="C91" s="33" t="str">
        <f t="shared" ref="C91" si="142">IF(OR(LEN(C90)&lt;1,LEN(D90)&lt;1),"","B")</f>
        <v/>
      </c>
      <c r="D91" s="38"/>
      <c r="E91" s="44"/>
      <c r="F91" s="52"/>
      <c r="G91" s="57"/>
      <c r="H91" s="38"/>
      <c r="I91" s="38"/>
      <c r="J91" s="48"/>
      <c r="K91" s="49"/>
      <c r="M91" s="25">
        <f t="shared" si="102"/>
        <v>0</v>
      </c>
      <c r="N91" s="25" t="str">
        <f t="shared" si="121"/>
        <v/>
      </c>
      <c r="O91" s="26" t="str">
        <f t="shared" si="103"/>
        <v/>
      </c>
      <c r="P91" s="26">
        <f t="shared" si="104"/>
        <v>0</v>
      </c>
      <c r="Q91" s="20" t="s">
        <v>41</v>
      </c>
      <c r="R91" s="20">
        <f t="shared" si="96"/>
        <v>0</v>
      </c>
      <c r="S91" s="20">
        <f t="shared" si="97"/>
        <v>0</v>
      </c>
      <c r="T91" s="20">
        <f t="shared" si="105"/>
        <v>0</v>
      </c>
      <c r="U91" s="20">
        <f t="shared" si="106"/>
        <v>0</v>
      </c>
      <c r="V91" s="20" t="str">
        <f t="shared" si="98"/>
        <v/>
      </c>
      <c r="W91" s="20" t="str">
        <f t="shared" si="99"/>
        <v/>
      </c>
      <c r="X91" s="20" t="str">
        <f t="shared" si="107"/>
        <v/>
      </c>
      <c r="Y91">
        <f t="shared" si="108"/>
        <v>0</v>
      </c>
      <c r="Z91">
        <f t="shared" si="109"/>
        <v>0</v>
      </c>
      <c r="AA91" s="14" t="b">
        <f t="shared" si="100"/>
        <v>0</v>
      </c>
      <c r="AB91" s="28" t="str">
        <f t="shared" si="110"/>
        <v/>
      </c>
      <c r="AC91" s="20" t="str">
        <f t="shared" si="111"/>
        <v/>
      </c>
      <c r="AD91" s="20" t="str">
        <f t="shared" si="112"/>
        <v/>
      </c>
    </row>
    <row r="92" spans="1:30" ht="15" customHeight="1">
      <c r="A92" s="54"/>
      <c r="B92" s="60"/>
      <c r="C92" s="33" t="str">
        <f t="shared" ref="C92" si="143">IF(OR(LEN(C91)&lt;1,LEN(D92)&lt;1),"","C")</f>
        <v/>
      </c>
      <c r="D92" s="38"/>
      <c r="E92" s="42"/>
      <c r="F92" s="52"/>
      <c r="G92" s="57"/>
      <c r="H92" s="38"/>
      <c r="I92" s="38"/>
      <c r="J92" s="48"/>
      <c r="K92" s="49"/>
      <c r="M92" s="25">
        <f t="shared" si="102"/>
        <v>0</v>
      </c>
      <c r="N92" s="25" t="str">
        <f t="shared" si="121"/>
        <v/>
      </c>
      <c r="O92" s="26" t="str">
        <f t="shared" si="103"/>
        <v/>
      </c>
      <c r="P92" s="26">
        <f t="shared" si="104"/>
        <v>0</v>
      </c>
      <c r="Q92" s="20" t="s">
        <v>41</v>
      </c>
      <c r="R92" s="20">
        <f t="shared" si="96"/>
        <v>0</v>
      </c>
      <c r="S92" s="20">
        <f t="shared" si="97"/>
        <v>0</v>
      </c>
      <c r="T92" s="20">
        <f t="shared" si="105"/>
        <v>0</v>
      </c>
      <c r="U92" s="20">
        <f t="shared" si="106"/>
        <v>0</v>
      </c>
      <c r="V92" s="20" t="str">
        <f t="shared" si="98"/>
        <v/>
      </c>
      <c r="W92" s="20" t="str">
        <f t="shared" si="99"/>
        <v/>
      </c>
      <c r="X92" s="20" t="str">
        <f t="shared" si="107"/>
        <v/>
      </c>
      <c r="Y92">
        <f t="shared" si="108"/>
        <v>0</v>
      </c>
      <c r="Z92">
        <f t="shared" si="109"/>
        <v>0</v>
      </c>
      <c r="AA92" s="14" t="b">
        <f t="shared" si="100"/>
        <v>0</v>
      </c>
      <c r="AB92" s="28" t="str">
        <f t="shared" si="110"/>
        <v/>
      </c>
      <c r="AC92" s="20" t="str">
        <f t="shared" si="111"/>
        <v/>
      </c>
      <c r="AD92" s="20" t="str">
        <f t="shared" si="112"/>
        <v/>
      </c>
    </row>
    <row r="93" spans="1:30" ht="15" customHeight="1">
      <c r="A93" s="54"/>
      <c r="B93" s="60"/>
      <c r="C93" s="33" t="str">
        <f t="shared" ref="C93" si="144">IF(OR(LEN(C92)&lt;1,LEN(D93)&lt;1),"","D")</f>
        <v/>
      </c>
      <c r="D93" s="38"/>
      <c r="E93" s="44"/>
      <c r="F93" s="52"/>
      <c r="G93" s="57"/>
      <c r="H93" s="38"/>
      <c r="I93" s="38"/>
      <c r="J93" s="48"/>
      <c r="K93" s="49"/>
      <c r="M93" s="25">
        <f t="shared" si="102"/>
        <v>0</v>
      </c>
      <c r="N93" s="25" t="str">
        <f t="shared" si="121"/>
        <v/>
      </c>
      <c r="O93" s="26" t="str">
        <f t="shared" si="103"/>
        <v/>
      </c>
      <c r="P93" s="26">
        <f t="shared" si="104"/>
        <v>0</v>
      </c>
      <c r="Q93" s="20" t="s">
        <v>41</v>
      </c>
      <c r="R93" s="20">
        <f t="shared" si="96"/>
        <v>0</v>
      </c>
      <c r="S93" s="20">
        <f t="shared" si="97"/>
        <v>0</v>
      </c>
      <c r="T93" s="20">
        <f t="shared" si="105"/>
        <v>0</v>
      </c>
      <c r="U93" s="20">
        <f t="shared" si="106"/>
        <v>0</v>
      </c>
      <c r="V93" s="20" t="str">
        <f t="shared" si="98"/>
        <v/>
      </c>
      <c r="W93" s="20" t="str">
        <f t="shared" si="99"/>
        <v/>
      </c>
      <c r="X93" s="20" t="str">
        <f t="shared" si="107"/>
        <v/>
      </c>
      <c r="Y93">
        <f t="shared" si="108"/>
        <v>0</v>
      </c>
      <c r="Z93">
        <f t="shared" si="109"/>
        <v>0</v>
      </c>
      <c r="AA93" s="14" t="b">
        <f t="shared" si="100"/>
        <v>0</v>
      </c>
      <c r="AB93" s="28" t="str">
        <f t="shared" si="110"/>
        <v/>
      </c>
      <c r="AC93" s="20" t="str">
        <f t="shared" si="111"/>
        <v/>
      </c>
      <c r="AD93" s="20" t="str">
        <f t="shared" si="112"/>
        <v/>
      </c>
    </row>
    <row r="94" spans="1:30" ht="15.75" customHeight="1" thickBot="1">
      <c r="A94" s="55"/>
      <c r="B94" s="61"/>
      <c r="C94" s="36" t="str">
        <f t="shared" ref="C94" si="145">IF(OR(LEN(C93)&lt;1,LEN(D94)&lt;1),"","E")</f>
        <v/>
      </c>
      <c r="D94" s="39"/>
      <c r="E94" s="45"/>
      <c r="F94" s="53"/>
      <c r="G94" s="58"/>
      <c r="H94" s="39"/>
      <c r="I94" s="39"/>
      <c r="J94" s="39"/>
      <c r="K94" s="50"/>
      <c r="M94" s="25">
        <f t="shared" si="102"/>
        <v>0</v>
      </c>
      <c r="N94" s="25" t="str">
        <f t="shared" si="121"/>
        <v/>
      </c>
      <c r="O94" s="26" t="str">
        <f t="shared" si="103"/>
        <v/>
      </c>
      <c r="P94" s="26">
        <f t="shared" si="104"/>
        <v>0</v>
      </c>
      <c r="Q94" s="20" t="s">
        <v>41</v>
      </c>
      <c r="R94" s="20">
        <f t="shared" si="96"/>
        <v>0</v>
      </c>
      <c r="S94" s="20">
        <f t="shared" si="97"/>
        <v>0</v>
      </c>
      <c r="T94" s="20">
        <f t="shared" si="105"/>
        <v>0</v>
      </c>
      <c r="U94" s="20">
        <f t="shared" si="106"/>
        <v>0</v>
      </c>
      <c r="V94" s="20" t="str">
        <f t="shared" si="98"/>
        <v/>
      </c>
      <c r="W94" s="20" t="str">
        <f t="shared" si="99"/>
        <v/>
      </c>
      <c r="X94" s="20" t="str">
        <f t="shared" si="107"/>
        <v/>
      </c>
      <c r="Y94">
        <f t="shared" si="108"/>
        <v>0</v>
      </c>
      <c r="Z94">
        <f t="shared" si="109"/>
        <v>0</v>
      </c>
      <c r="AA94" s="14" t="b">
        <f t="shared" si="100"/>
        <v>0</v>
      </c>
      <c r="AB94" s="28" t="str">
        <f t="shared" si="110"/>
        <v/>
      </c>
      <c r="AC94" s="20" t="str">
        <f t="shared" si="111"/>
        <v/>
      </c>
      <c r="AD94" s="20" t="str">
        <f t="shared" si="112"/>
        <v/>
      </c>
    </row>
    <row r="95" spans="1:30" ht="15" customHeight="1">
      <c r="A95" s="54"/>
      <c r="B95" s="59" t="str">
        <f t="shared" ref="B95" si="146">IF(LEN(A95)&lt;1,"",IF(ISBLANK(B89),"",B89+1))</f>
        <v/>
      </c>
      <c r="C95" s="35" t="str">
        <f t="shared" ref="C95" si="147">IF(ISBLANK(A95),"",IF(A95="Uraian Panjang","Teks Uraian","Teks Soal"))</f>
        <v/>
      </c>
      <c r="D95" s="40"/>
      <c r="E95" s="41"/>
      <c r="F95" s="52" t="str">
        <f t="shared" ref="F95" si="148">IF(ISBLANK(A95),"",IF(A95="Pilihan Ganda","Centang salah satu jawaban disamping pada kolom KUNCI",IF(A95="Jawaban Jamak","Centang beberapa jawaban disamping pada kolom KUNCI",IF(A95="Uraian Panjang","Pastikan tidak ada jawaban yang tercentang pada kolom KUNCI",IF(A95="Esai Koreksi Otomatis","Kunci jawaban adalah teks opsi dan centang opsi tersebut pada kolom KUNCI","ISIKAN JODOHNYA PADA KOLOM KUNCI")))))</f>
        <v/>
      </c>
      <c r="G95" s="56" t="str">
        <f>IF(LEN(A95)&lt;1,"",IF(AA95=FALSE,"Ada kesalahan, mohon perhatikan kolom KETERANGAN",""))</f>
        <v/>
      </c>
      <c r="H95" s="40"/>
      <c r="I95" s="40"/>
      <c r="J95" s="46"/>
      <c r="K95" s="47"/>
      <c r="M95" s="25">
        <f t="shared" si="102"/>
        <v>0</v>
      </c>
      <c r="N95" s="25" t="str">
        <f t="shared" si="121"/>
        <v/>
      </c>
      <c r="O95" s="26" t="str">
        <f t="shared" si="103"/>
        <v/>
      </c>
      <c r="P95" s="26">
        <f t="shared" si="104"/>
        <v>0</v>
      </c>
      <c r="Q95" s="20" t="s">
        <v>41</v>
      </c>
      <c r="R95" s="20">
        <f t="shared" si="96"/>
        <v>0</v>
      </c>
      <c r="S95" s="20">
        <f t="shared" si="97"/>
        <v>0</v>
      </c>
      <c r="T95" s="20">
        <f t="shared" si="105"/>
        <v>0</v>
      </c>
      <c r="U95" s="20">
        <f t="shared" si="106"/>
        <v>0</v>
      </c>
      <c r="V95" s="20" t="str">
        <f t="shared" si="98"/>
        <v/>
      </c>
      <c r="W95" s="20" t="str">
        <f t="shared" si="99"/>
        <v/>
      </c>
      <c r="X95" s="20" t="str">
        <f t="shared" si="107"/>
        <v/>
      </c>
      <c r="Y95">
        <f t="shared" si="108"/>
        <v>0</v>
      </c>
      <c r="Z95">
        <f t="shared" si="109"/>
        <v>0</v>
      </c>
      <c r="AA95" s="14" t="b">
        <f t="shared" si="100"/>
        <v>0</v>
      </c>
      <c r="AB95" s="28" t="str">
        <f t="shared" si="110"/>
        <v/>
      </c>
      <c r="AC95" s="20" t="str">
        <f t="shared" si="111"/>
        <v/>
      </c>
      <c r="AD95" s="20" t="str">
        <f t="shared" si="112"/>
        <v/>
      </c>
    </row>
    <row r="96" spans="1:30" ht="15" customHeight="1">
      <c r="A96" s="54"/>
      <c r="B96" s="60"/>
      <c r="C96" s="33" t="str">
        <f t="shared" ref="C96" si="149">IF(C95="Teks Uraian","",IF(OR(LEN(C95)&lt;1,LEN(D96)&lt;1),"","A"))</f>
        <v/>
      </c>
      <c r="D96" s="38"/>
      <c r="E96" s="44"/>
      <c r="F96" s="52"/>
      <c r="G96" s="57"/>
      <c r="H96" s="38"/>
      <c r="I96" s="38"/>
      <c r="J96" s="48"/>
      <c r="K96" s="49"/>
      <c r="M96" s="25">
        <f t="shared" si="102"/>
        <v>0</v>
      </c>
      <c r="N96" s="25" t="str">
        <f t="shared" si="121"/>
        <v/>
      </c>
      <c r="O96" s="26" t="str">
        <f t="shared" si="103"/>
        <v/>
      </c>
      <c r="P96" s="26">
        <f t="shared" si="104"/>
        <v>0</v>
      </c>
      <c r="Q96" s="20" t="s">
        <v>41</v>
      </c>
      <c r="R96" s="20">
        <f t="shared" si="96"/>
        <v>0</v>
      </c>
      <c r="S96" s="20">
        <f t="shared" si="97"/>
        <v>0</v>
      </c>
      <c r="T96" s="20">
        <f t="shared" si="105"/>
        <v>0</v>
      </c>
      <c r="U96" s="20">
        <f t="shared" si="106"/>
        <v>0</v>
      </c>
      <c r="V96" s="20" t="str">
        <f t="shared" si="98"/>
        <v/>
      </c>
      <c r="W96" s="20" t="str">
        <f t="shared" si="99"/>
        <v/>
      </c>
      <c r="X96" s="20" t="str">
        <f t="shared" si="107"/>
        <v/>
      </c>
      <c r="Y96">
        <f t="shared" si="108"/>
        <v>0</v>
      </c>
      <c r="Z96">
        <f t="shared" si="109"/>
        <v>0</v>
      </c>
      <c r="AA96" s="14" t="b">
        <f t="shared" si="100"/>
        <v>0</v>
      </c>
      <c r="AB96" s="28" t="str">
        <f t="shared" si="110"/>
        <v/>
      </c>
      <c r="AC96" s="20" t="str">
        <f t="shared" si="111"/>
        <v/>
      </c>
      <c r="AD96" s="20" t="str">
        <f t="shared" si="112"/>
        <v/>
      </c>
    </row>
    <row r="97" spans="1:30" ht="15" customHeight="1">
      <c r="A97" s="54"/>
      <c r="B97" s="60"/>
      <c r="C97" s="33" t="str">
        <f t="shared" ref="C97" si="150">IF(OR(LEN(C96)&lt;1,LEN(D96)&lt;1),"","B")</f>
        <v/>
      </c>
      <c r="D97" s="38"/>
      <c r="E97" s="44"/>
      <c r="F97" s="52"/>
      <c r="G97" s="57"/>
      <c r="H97" s="38"/>
      <c r="I97" s="38"/>
      <c r="J97" s="48"/>
      <c r="K97" s="49"/>
      <c r="M97" s="25">
        <f t="shared" si="102"/>
        <v>0</v>
      </c>
      <c r="N97" s="25" t="str">
        <f t="shared" si="121"/>
        <v/>
      </c>
      <c r="O97" s="26" t="str">
        <f t="shared" si="103"/>
        <v/>
      </c>
      <c r="P97" s="26">
        <f t="shared" si="104"/>
        <v>0</v>
      </c>
      <c r="Q97" s="20" t="s">
        <v>41</v>
      </c>
      <c r="R97" s="20">
        <f t="shared" si="96"/>
        <v>0</v>
      </c>
      <c r="S97" s="20">
        <f t="shared" si="97"/>
        <v>0</v>
      </c>
      <c r="T97" s="20">
        <f t="shared" si="105"/>
        <v>0</v>
      </c>
      <c r="U97" s="20">
        <f t="shared" si="106"/>
        <v>0</v>
      </c>
      <c r="V97" s="20" t="str">
        <f t="shared" si="98"/>
        <v/>
      </c>
      <c r="W97" s="20" t="str">
        <f t="shared" si="99"/>
        <v/>
      </c>
      <c r="X97" s="20" t="str">
        <f t="shared" si="107"/>
        <v/>
      </c>
      <c r="Y97">
        <f t="shared" si="108"/>
        <v>0</v>
      </c>
      <c r="Z97">
        <f t="shared" si="109"/>
        <v>0</v>
      </c>
      <c r="AA97" s="14" t="b">
        <f t="shared" si="100"/>
        <v>0</v>
      </c>
      <c r="AB97" s="28" t="str">
        <f t="shared" si="110"/>
        <v/>
      </c>
      <c r="AC97" s="20" t="str">
        <f t="shared" si="111"/>
        <v/>
      </c>
      <c r="AD97" s="20" t="str">
        <f t="shared" si="112"/>
        <v/>
      </c>
    </row>
    <row r="98" spans="1:30" ht="15" customHeight="1">
      <c r="A98" s="54"/>
      <c r="B98" s="60"/>
      <c r="C98" s="33" t="str">
        <f t="shared" ref="C98" si="151">IF(OR(LEN(C97)&lt;1,LEN(D98)&lt;1),"","C")</f>
        <v/>
      </c>
      <c r="D98" s="38"/>
      <c r="E98" s="42"/>
      <c r="F98" s="52"/>
      <c r="G98" s="57"/>
      <c r="H98" s="38"/>
      <c r="I98" s="38"/>
      <c r="J98" s="48"/>
      <c r="K98" s="49"/>
      <c r="M98" s="25">
        <f t="shared" si="102"/>
        <v>0</v>
      </c>
      <c r="N98" s="25" t="str">
        <f t="shared" si="121"/>
        <v/>
      </c>
      <c r="O98" s="26" t="str">
        <f t="shared" si="103"/>
        <v/>
      </c>
      <c r="P98" s="26">
        <f t="shared" si="104"/>
        <v>0</v>
      </c>
      <c r="Q98" s="20" t="s">
        <v>41</v>
      </c>
      <c r="R98" s="20">
        <f t="shared" si="96"/>
        <v>0</v>
      </c>
      <c r="S98" s="20">
        <f t="shared" si="97"/>
        <v>0</v>
      </c>
      <c r="T98" s="20">
        <f t="shared" si="105"/>
        <v>0</v>
      </c>
      <c r="U98" s="20">
        <f t="shared" si="106"/>
        <v>0</v>
      </c>
      <c r="V98" s="20" t="str">
        <f t="shared" si="98"/>
        <v/>
      </c>
      <c r="W98" s="20" t="str">
        <f t="shared" si="99"/>
        <v/>
      </c>
      <c r="X98" s="20" t="str">
        <f t="shared" si="107"/>
        <v/>
      </c>
      <c r="Y98">
        <f t="shared" si="108"/>
        <v>0</v>
      </c>
      <c r="Z98">
        <f t="shared" si="109"/>
        <v>0</v>
      </c>
      <c r="AA98" s="14" t="b">
        <f t="shared" si="100"/>
        <v>0</v>
      </c>
      <c r="AB98" s="28" t="str">
        <f t="shared" si="110"/>
        <v/>
      </c>
      <c r="AC98" s="20" t="str">
        <f t="shared" si="111"/>
        <v/>
      </c>
      <c r="AD98" s="20" t="str">
        <f t="shared" si="112"/>
        <v/>
      </c>
    </row>
    <row r="99" spans="1:30" ht="15" customHeight="1">
      <c r="A99" s="54"/>
      <c r="B99" s="60"/>
      <c r="C99" s="33" t="str">
        <f t="shared" ref="C99" si="152">IF(OR(LEN(C98)&lt;1,LEN(D99)&lt;1),"","D")</f>
        <v/>
      </c>
      <c r="D99" s="38"/>
      <c r="E99" s="44"/>
      <c r="F99" s="52"/>
      <c r="G99" s="57"/>
      <c r="H99" s="38"/>
      <c r="I99" s="38"/>
      <c r="J99" s="48"/>
      <c r="K99" s="49"/>
      <c r="M99" s="25">
        <f t="shared" si="102"/>
        <v>0</v>
      </c>
      <c r="N99" s="25" t="str">
        <f t="shared" si="121"/>
        <v/>
      </c>
      <c r="O99" s="26" t="str">
        <f t="shared" si="103"/>
        <v/>
      </c>
      <c r="P99" s="26">
        <f t="shared" si="104"/>
        <v>0</v>
      </c>
      <c r="Q99" s="20" t="s">
        <v>41</v>
      </c>
      <c r="R99" s="20">
        <f t="shared" si="96"/>
        <v>0</v>
      </c>
      <c r="S99" s="20">
        <f t="shared" si="97"/>
        <v>0</v>
      </c>
      <c r="T99" s="20">
        <f t="shared" si="105"/>
        <v>0</v>
      </c>
      <c r="U99" s="20">
        <f t="shared" si="106"/>
        <v>0</v>
      </c>
      <c r="V99" s="20" t="str">
        <f t="shared" si="98"/>
        <v/>
      </c>
      <c r="W99" s="20" t="str">
        <f t="shared" si="99"/>
        <v/>
      </c>
      <c r="X99" s="20" t="str">
        <f t="shared" si="107"/>
        <v/>
      </c>
      <c r="Y99">
        <f t="shared" si="108"/>
        <v>0</v>
      </c>
      <c r="Z99">
        <f t="shared" si="109"/>
        <v>0</v>
      </c>
      <c r="AA99" s="14" t="b">
        <f t="shared" si="100"/>
        <v>0</v>
      </c>
      <c r="AB99" s="28" t="str">
        <f t="shared" si="110"/>
        <v/>
      </c>
      <c r="AC99" s="20" t="str">
        <f t="shared" si="111"/>
        <v/>
      </c>
      <c r="AD99" s="20" t="str">
        <f t="shared" si="112"/>
        <v/>
      </c>
    </row>
    <row r="100" spans="1:30" ht="15.75" customHeight="1" thickBot="1">
      <c r="A100" s="55"/>
      <c r="B100" s="61"/>
      <c r="C100" s="36" t="str">
        <f t="shared" ref="C100" si="153">IF(OR(LEN(C99)&lt;1,LEN(D100)&lt;1),"","E")</f>
        <v/>
      </c>
      <c r="D100" s="39"/>
      <c r="E100" s="45"/>
      <c r="F100" s="53"/>
      <c r="G100" s="58"/>
      <c r="H100" s="39"/>
      <c r="I100" s="39"/>
      <c r="J100" s="39"/>
      <c r="K100" s="50"/>
      <c r="M100" s="25">
        <f t="shared" si="102"/>
        <v>0</v>
      </c>
      <c r="N100" s="25" t="str">
        <f t="shared" si="121"/>
        <v/>
      </c>
      <c r="O100" s="26" t="str">
        <f t="shared" si="103"/>
        <v/>
      </c>
      <c r="P100" s="26">
        <f t="shared" si="104"/>
        <v>0</v>
      </c>
      <c r="Q100" s="20" t="s">
        <v>41</v>
      </c>
      <c r="R100" s="20">
        <f t="shared" si="96"/>
        <v>0</v>
      </c>
      <c r="S100" s="20">
        <f t="shared" si="97"/>
        <v>0</v>
      </c>
      <c r="T100" s="20">
        <f t="shared" si="105"/>
        <v>0</v>
      </c>
      <c r="U100" s="20">
        <f t="shared" si="106"/>
        <v>0</v>
      </c>
      <c r="V100" s="20" t="str">
        <f t="shared" si="98"/>
        <v/>
      </c>
      <c r="W100" s="20" t="str">
        <f t="shared" si="99"/>
        <v/>
      </c>
      <c r="X100" s="20" t="str">
        <f t="shared" si="107"/>
        <v/>
      </c>
      <c r="Y100">
        <f t="shared" si="108"/>
        <v>0</v>
      </c>
      <c r="Z100">
        <f t="shared" si="109"/>
        <v>0</v>
      </c>
      <c r="AA100" s="14" t="b">
        <f t="shared" si="100"/>
        <v>0</v>
      </c>
      <c r="AB100" s="28" t="str">
        <f t="shared" si="110"/>
        <v/>
      </c>
      <c r="AC100" s="20" t="str">
        <f t="shared" si="111"/>
        <v/>
      </c>
      <c r="AD100" s="20" t="str">
        <f t="shared" si="112"/>
        <v/>
      </c>
    </row>
    <row r="101" spans="1:30" ht="15" customHeight="1">
      <c r="A101" s="54"/>
      <c r="B101" s="59" t="str">
        <f t="shared" ref="B101" si="154">IF(LEN(A101)&lt;1,"",IF(ISBLANK(B95),"",B95+1))</f>
        <v/>
      </c>
      <c r="C101" s="35" t="str">
        <f t="shared" ref="C101" si="155">IF(ISBLANK(A101),"",IF(A101="Uraian Panjang","Teks Uraian","Teks Soal"))</f>
        <v/>
      </c>
      <c r="D101" s="40"/>
      <c r="E101" s="41"/>
      <c r="F101" s="52" t="str">
        <f t="shared" ref="F101" si="156">IF(ISBLANK(A101),"",IF(A101="Pilihan Ganda","Centang salah satu jawaban disamping pada kolom KUNCI",IF(A101="Jawaban Jamak","Centang beberapa jawaban disamping pada kolom KUNCI",IF(A101="Uraian Panjang","Pastikan tidak ada jawaban yang tercentang pada kolom KUNCI",IF(A101="Esai Koreksi Otomatis","Kunci jawaban adalah teks opsi dan centang opsi tersebut pada kolom KUNCI","ISIKAN JODOHNYA PADA KOLOM KUNCI")))))</f>
        <v/>
      </c>
      <c r="G101" s="56" t="str">
        <f>IF(LEN(A101)&lt;1,"",IF(AA101=FALSE,"Ada kesalahan, mohon perhatikan kolom KETERANGAN",""))</f>
        <v/>
      </c>
      <c r="H101" s="40"/>
      <c r="I101" s="40"/>
      <c r="J101" s="46"/>
      <c r="K101" s="47"/>
      <c r="M101" s="25">
        <f t="shared" si="102"/>
        <v>0</v>
      </c>
      <c r="N101" s="25" t="str">
        <f t="shared" si="121"/>
        <v/>
      </c>
      <c r="O101" s="26" t="str">
        <f t="shared" si="103"/>
        <v/>
      </c>
      <c r="P101" s="26">
        <f t="shared" si="104"/>
        <v>0</v>
      </c>
      <c r="Q101" s="20" t="s">
        <v>41</v>
      </c>
      <c r="R101" s="20">
        <f t="shared" si="96"/>
        <v>0</v>
      </c>
      <c r="S101" s="20">
        <f t="shared" si="97"/>
        <v>0</v>
      </c>
      <c r="T101" s="20">
        <f t="shared" si="105"/>
        <v>0</v>
      </c>
      <c r="U101" s="20">
        <f t="shared" si="106"/>
        <v>0</v>
      </c>
      <c r="V101" s="20" t="str">
        <f t="shared" si="98"/>
        <v/>
      </c>
      <c r="W101" s="20" t="str">
        <f t="shared" si="99"/>
        <v/>
      </c>
      <c r="X101" s="20" t="str">
        <f t="shared" si="107"/>
        <v/>
      </c>
      <c r="Y101">
        <f t="shared" si="108"/>
        <v>0</v>
      </c>
      <c r="Z101">
        <f t="shared" si="109"/>
        <v>0</v>
      </c>
      <c r="AA101" s="14" t="b">
        <f t="shared" si="100"/>
        <v>0</v>
      </c>
      <c r="AB101" s="28" t="str">
        <f t="shared" si="110"/>
        <v/>
      </c>
      <c r="AC101" s="20" t="str">
        <f t="shared" si="111"/>
        <v/>
      </c>
      <c r="AD101" s="20" t="str">
        <f t="shared" si="112"/>
        <v/>
      </c>
    </row>
    <row r="102" spans="1:30" ht="15" customHeight="1">
      <c r="A102" s="54"/>
      <c r="B102" s="60"/>
      <c r="C102" s="33" t="str">
        <f t="shared" ref="C102" si="157">IF(C101="Teks Uraian","",IF(OR(LEN(C101)&lt;1,LEN(D102)&lt;1),"","A"))</f>
        <v/>
      </c>
      <c r="D102" s="38"/>
      <c r="E102" s="44"/>
      <c r="F102" s="52"/>
      <c r="G102" s="57"/>
      <c r="H102" s="38"/>
      <c r="I102" s="38"/>
      <c r="J102" s="48"/>
      <c r="K102" s="49"/>
      <c r="M102" s="25">
        <f t="shared" si="102"/>
        <v>0</v>
      </c>
      <c r="N102" s="25" t="str">
        <f t="shared" si="121"/>
        <v/>
      </c>
      <c r="O102" s="26" t="str">
        <f t="shared" si="103"/>
        <v/>
      </c>
      <c r="P102" s="26">
        <f t="shared" si="104"/>
        <v>0</v>
      </c>
      <c r="Q102" s="20" t="s">
        <v>41</v>
      </c>
      <c r="R102" s="20">
        <f t="shared" si="96"/>
        <v>0</v>
      </c>
      <c r="S102" s="20">
        <f t="shared" si="97"/>
        <v>0</v>
      </c>
      <c r="T102" s="20">
        <f t="shared" si="105"/>
        <v>0</v>
      </c>
      <c r="U102" s="20">
        <f t="shared" si="106"/>
        <v>0</v>
      </c>
      <c r="V102" s="20" t="str">
        <f t="shared" si="98"/>
        <v/>
      </c>
      <c r="W102" s="20" t="str">
        <f t="shared" si="99"/>
        <v/>
      </c>
      <c r="X102" s="20" t="str">
        <f t="shared" si="107"/>
        <v/>
      </c>
      <c r="Y102">
        <f t="shared" si="108"/>
        <v>0</v>
      </c>
      <c r="Z102">
        <f t="shared" si="109"/>
        <v>0</v>
      </c>
      <c r="AA102" s="14" t="b">
        <f t="shared" si="100"/>
        <v>0</v>
      </c>
      <c r="AB102" s="28" t="str">
        <f t="shared" si="110"/>
        <v/>
      </c>
      <c r="AC102" s="20" t="str">
        <f t="shared" si="111"/>
        <v/>
      </c>
      <c r="AD102" s="20" t="str">
        <f t="shared" si="112"/>
        <v/>
      </c>
    </row>
    <row r="103" spans="1:30" ht="15" customHeight="1">
      <c r="A103" s="54"/>
      <c r="B103" s="60"/>
      <c r="C103" s="33" t="str">
        <f t="shared" ref="C103" si="158">IF(OR(LEN(C102)&lt;1,LEN(D102)&lt;1),"","B")</f>
        <v/>
      </c>
      <c r="D103" s="38"/>
      <c r="E103" s="44"/>
      <c r="F103" s="52"/>
      <c r="G103" s="57"/>
      <c r="H103" s="38"/>
      <c r="I103" s="38"/>
      <c r="J103" s="48"/>
      <c r="K103" s="49"/>
      <c r="M103" s="25">
        <f t="shared" si="102"/>
        <v>0</v>
      </c>
      <c r="N103" s="25" t="str">
        <f t="shared" si="121"/>
        <v/>
      </c>
      <c r="O103" s="26" t="str">
        <f t="shared" si="103"/>
        <v/>
      </c>
      <c r="P103" s="26">
        <f t="shared" si="104"/>
        <v>0</v>
      </c>
      <c r="Q103" s="20" t="s">
        <v>41</v>
      </c>
      <c r="R103" s="20">
        <f t="shared" si="96"/>
        <v>0</v>
      </c>
      <c r="S103" s="20">
        <f t="shared" si="97"/>
        <v>0</v>
      </c>
      <c r="T103" s="20">
        <f t="shared" si="105"/>
        <v>0</v>
      </c>
      <c r="U103" s="20">
        <f t="shared" si="106"/>
        <v>0</v>
      </c>
      <c r="V103" s="20" t="str">
        <f t="shared" si="98"/>
        <v/>
      </c>
      <c r="W103" s="20" t="str">
        <f t="shared" si="99"/>
        <v/>
      </c>
      <c r="X103" s="20" t="str">
        <f t="shared" si="107"/>
        <v/>
      </c>
      <c r="Y103">
        <f t="shared" si="108"/>
        <v>0</v>
      </c>
      <c r="Z103">
        <f t="shared" si="109"/>
        <v>0</v>
      </c>
      <c r="AA103" s="14" t="b">
        <f t="shared" si="100"/>
        <v>0</v>
      </c>
      <c r="AB103" s="28" t="str">
        <f t="shared" si="110"/>
        <v/>
      </c>
      <c r="AC103" s="20" t="str">
        <f t="shared" si="111"/>
        <v/>
      </c>
      <c r="AD103" s="20" t="str">
        <f t="shared" si="112"/>
        <v/>
      </c>
    </row>
    <row r="104" spans="1:30" ht="15" customHeight="1">
      <c r="A104" s="54"/>
      <c r="B104" s="60"/>
      <c r="C104" s="33" t="str">
        <f t="shared" ref="C104" si="159">IF(OR(LEN(C103)&lt;1,LEN(D104)&lt;1),"","C")</f>
        <v/>
      </c>
      <c r="D104" s="38"/>
      <c r="E104" s="42"/>
      <c r="F104" s="52"/>
      <c r="G104" s="57"/>
      <c r="H104" s="38"/>
      <c r="I104" s="38"/>
      <c r="J104" s="48"/>
      <c r="K104" s="49"/>
      <c r="M104" s="25">
        <f t="shared" si="102"/>
        <v>0</v>
      </c>
      <c r="N104" s="25" t="str">
        <f t="shared" si="121"/>
        <v/>
      </c>
      <c r="O104" s="26" t="str">
        <f t="shared" si="103"/>
        <v/>
      </c>
      <c r="P104" s="26">
        <f t="shared" si="104"/>
        <v>0</v>
      </c>
      <c r="Q104" s="20" t="s">
        <v>41</v>
      </c>
      <c r="R104" s="20">
        <f t="shared" si="96"/>
        <v>0</v>
      </c>
      <c r="S104" s="20">
        <f t="shared" si="97"/>
        <v>0</v>
      </c>
      <c r="T104" s="20">
        <f t="shared" si="105"/>
        <v>0</v>
      </c>
      <c r="U104" s="20">
        <f t="shared" si="106"/>
        <v>0</v>
      </c>
      <c r="V104" s="20" t="str">
        <f t="shared" si="98"/>
        <v/>
      </c>
      <c r="W104" s="20" t="str">
        <f t="shared" si="99"/>
        <v/>
      </c>
      <c r="X104" s="20" t="str">
        <f t="shared" si="107"/>
        <v/>
      </c>
      <c r="Y104">
        <f t="shared" si="108"/>
        <v>0</v>
      </c>
      <c r="Z104">
        <f t="shared" si="109"/>
        <v>0</v>
      </c>
      <c r="AA104" s="14" t="b">
        <f t="shared" si="100"/>
        <v>0</v>
      </c>
      <c r="AB104" s="28" t="str">
        <f t="shared" si="110"/>
        <v/>
      </c>
      <c r="AC104" s="20" t="str">
        <f t="shared" si="111"/>
        <v/>
      </c>
      <c r="AD104" s="20" t="str">
        <f t="shared" si="112"/>
        <v/>
      </c>
    </row>
    <row r="105" spans="1:30" ht="15" customHeight="1">
      <c r="A105" s="54"/>
      <c r="B105" s="60"/>
      <c r="C105" s="33" t="str">
        <f t="shared" ref="C105" si="160">IF(OR(LEN(C104)&lt;1,LEN(D105)&lt;1),"","D")</f>
        <v/>
      </c>
      <c r="D105" s="38"/>
      <c r="E105" s="44"/>
      <c r="F105" s="52"/>
      <c r="G105" s="57"/>
      <c r="H105" s="38"/>
      <c r="I105" s="38"/>
      <c r="J105" s="48"/>
      <c r="K105" s="49"/>
      <c r="M105" s="25">
        <f t="shared" si="102"/>
        <v>0</v>
      </c>
      <c r="N105" s="25" t="str">
        <f t="shared" si="121"/>
        <v/>
      </c>
      <c r="O105" s="26" t="str">
        <f t="shared" si="103"/>
        <v/>
      </c>
      <c r="P105" s="26">
        <f t="shared" si="104"/>
        <v>0</v>
      </c>
      <c r="Q105" s="20" t="s">
        <v>41</v>
      </c>
      <c r="R105" s="20">
        <f t="shared" si="96"/>
        <v>0</v>
      </c>
      <c r="S105" s="20">
        <f t="shared" si="97"/>
        <v>0</v>
      </c>
      <c r="T105" s="20">
        <f t="shared" si="105"/>
        <v>0</v>
      </c>
      <c r="U105" s="20">
        <f t="shared" si="106"/>
        <v>0</v>
      </c>
      <c r="V105" s="20" t="str">
        <f t="shared" si="98"/>
        <v/>
      </c>
      <c r="W105" s="20" t="str">
        <f t="shared" si="99"/>
        <v/>
      </c>
      <c r="X105" s="20" t="str">
        <f t="shared" si="107"/>
        <v/>
      </c>
      <c r="Y105">
        <f t="shared" si="108"/>
        <v>0</v>
      </c>
      <c r="Z105">
        <f t="shared" si="109"/>
        <v>0</v>
      </c>
      <c r="AA105" s="14" t="b">
        <f t="shared" si="100"/>
        <v>0</v>
      </c>
      <c r="AB105" s="28" t="str">
        <f t="shared" si="110"/>
        <v/>
      </c>
      <c r="AC105" s="20" t="str">
        <f t="shared" si="111"/>
        <v/>
      </c>
      <c r="AD105" s="20" t="str">
        <f t="shared" si="112"/>
        <v/>
      </c>
    </row>
    <row r="106" spans="1:30" ht="15.75" customHeight="1" thickBot="1">
      <c r="A106" s="55"/>
      <c r="B106" s="61"/>
      <c r="C106" s="36" t="str">
        <f t="shared" ref="C106" si="161">IF(OR(LEN(C105)&lt;1,LEN(D106)&lt;1),"","E")</f>
        <v/>
      </c>
      <c r="D106" s="39"/>
      <c r="E106" s="45"/>
      <c r="F106" s="53"/>
      <c r="G106" s="58"/>
      <c r="H106" s="39"/>
      <c r="I106" s="39"/>
      <c r="J106" s="39"/>
      <c r="K106" s="50"/>
      <c r="M106" s="25">
        <f t="shared" si="102"/>
        <v>0</v>
      </c>
      <c r="N106" s="25" t="str">
        <f t="shared" si="121"/>
        <v/>
      </c>
      <c r="O106" s="26" t="str">
        <f t="shared" si="103"/>
        <v/>
      </c>
      <c r="P106" s="26">
        <f t="shared" si="104"/>
        <v>0</v>
      </c>
      <c r="Q106" s="20" t="s">
        <v>41</v>
      </c>
      <c r="R106" s="20">
        <f t="shared" si="96"/>
        <v>0</v>
      </c>
      <c r="S106" s="20">
        <f t="shared" si="97"/>
        <v>0</v>
      </c>
      <c r="T106" s="20">
        <f t="shared" si="105"/>
        <v>0</v>
      </c>
      <c r="U106" s="20">
        <f t="shared" si="106"/>
        <v>0</v>
      </c>
      <c r="V106" s="20" t="str">
        <f t="shared" si="98"/>
        <v/>
      </c>
      <c r="W106" s="20" t="str">
        <f t="shared" si="99"/>
        <v/>
      </c>
      <c r="X106" s="20" t="str">
        <f t="shared" si="107"/>
        <v/>
      </c>
      <c r="Y106">
        <f t="shared" si="108"/>
        <v>0</v>
      </c>
      <c r="Z106">
        <f t="shared" si="109"/>
        <v>0</v>
      </c>
      <c r="AA106" s="14" t="b">
        <f t="shared" si="100"/>
        <v>0</v>
      </c>
      <c r="AB106" s="28" t="str">
        <f t="shared" si="110"/>
        <v/>
      </c>
      <c r="AC106" s="20" t="str">
        <f t="shared" si="111"/>
        <v/>
      </c>
      <c r="AD106" s="20" t="str">
        <f t="shared" si="112"/>
        <v/>
      </c>
    </row>
    <row r="107" spans="1:30" ht="15" customHeight="1">
      <c r="A107" s="54"/>
      <c r="B107" s="59" t="str">
        <f t="shared" ref="B107" si="162">IF(LEN(A107)&lt;1,"",IF(ISBLANK(B101),"",B101+1))</f>
        <v/>
      </c>
      <c r="C107" s="35" t="str">
        <f t="shared" ref="C107" si="163">IF(ISBLANK(A107),"",IF(A107="Uraian Panjang","Teks Uraian","Teks Soal"))</f>
        <v/>
      </c>
      <c r="D107" s="40"/>
      <c r="E107" s="41"/>
      <c r="F107" s="52" t="str">
        <f t="shared" ref="F107" si="164">IF(ISBLANK(A107),"",IF(A107="Pilihan Ganda","Centang salah satu jawaban disamping pada kolom KUNCI",IF(A107="Jawaban Jamak","Centang beberapa jawaban disamping pada kolom KUNCI",IF(A107="Uraian Panjang","Pastikan tidak ada jawaban yang tercentang pada kolom KUNCI",IF(A107="Esai Koreksi Otomatis","Kunci jawaban adalah teks opsi dan centang opsi tersebut pada kolom KUNCI","ISIKAN JODOHNYA PADA KOLOM KUNCI")))))</f>
        <v/>
      </c>
      <c r="G107" s="56" t="str">
        <f>IF(LEN(A107)&lt;1,"",IF(AA107=FALSE,"Ada kesalahan, mohon perhatikan kolom KETERANGAN",""))</f>
        <v/>
      </c>
      <c r="H107" s="40"/>
      <c r="I107" s="40"/>
      <c r="J107" s="46"/>
      <c r="K107" s="47"/>
      <c r="M107" s="25">
        <f t="shared" si="102"/>
        <v>0</v>
      </c>
      <c r="N107" s="25" t="str">
        <f t="shared" si="121"/>
        <v/>
      </c>
      <c r="O107" s="26" t="str">
        <f t="shared" si="103"/>
        <v/>
      </c>
      <c r="P107" s="26">
        <f t="shared" si="104"/>
        <v>0</v>
      </c>
      <c r="Q107" s="20" t="s">
        <v>41</v>
      </c>
      <c r="R107" s="20">
        <f t="shared" si="96"/>
        <v>0</v>
      </c>
      <c r="S107" s="20">
        <f t="shared" si="97"/>
        <v>0</v>
      </c>
      <c r="T107" s="20">
        <f t="shared" si="105"/>
        <v>0</v>
      </c>
      <c r="U107" s="20">
        <f t="shared" si="106"/>
        <v>0</v>
      </c>
      <c r="V107" s="20" t="str">
        <f t="shared" si="98"/>
        <v/>
      </c>
      <c r="W107" s="20" t="str">
        <f t="shared" si="99"/>
        <v/>
      </c>
      <c r="X107" s="20" t="str">
        <f t="shared" si="107"/>
        <v/>
      </c>
      <c r="Y107">
        <f t="shared" si="108"/>
        <v>0</v>
      </c>
      <c r="Z107">
        <f t="shared" si="109"/>
        <v>0</v>
      </c>
      <c r="AA107" s="14" t="b">
        <f t="shared" si="100"/>
        <v>0</v>
      </c>
      <c r="AB107" s="28" t="str">
        <f t="shared" si="110"/>
        <v/>
      </c>
      <c r="AC107" s="20" t="str">
        <f t="shared" si="111"/>
        <v/>
      </c>
      <c r="AD107" s="20" t="str">
        <f t="shared" si="112"/>
        <v/>
      </c>
    </row>
    <row r="108" spans="1:30" ht="15" customHeight="1">
      <c r="A108" s="54"/>
      <c r="B108" s="60"/>
      <c r="C108" s="33" t="str">
        <f t="shared" ref="C108" si="165">IF(C107="Teks Uraian","",IF(OR(LEN(C107)&lt;1,LEN(D108)&lt;1),"","A"))</f>
        <v/>
      </c>
      <c r="D108" s="38"/>
      <c r="E108" s="44"/>
      <c r="F108" s="52"/>
      <c r="G108" s="57"/>
      <c r="H108" s="38"/>
      <c r="I108" s="38"/>
      <c r="J108" s="48"/>
      <c r="K108" s="49"/>
      <c r="M108" s="25">
        <f t="shared" si="102"/>
        <v>0</v>
      </c>
      <c r="N108" s="25" t="str">
        <f t="shared" si="121"/>
        <v/>
      </c>
      <c r="O108" s="26" t="str">
        <f t="shared" si="103"/>
        <v/>
      </c>
      <c r="P108" s="26">
        <f t="shared" si="104"/>
        <v>0</v>
      </c>
      <c r="Q108" s="20" t="s">
        <v>41</v>
      </c>
      <c r="R108" s="20">
        <f t="shared" si="96"/>
        <v>0</v>
      </c>
      <c r="S108" s="20">
        <f t="shared" si="97"/>
        <v>0</v>
      </c>
      <c r="T108" s="20">
        <f t="shared" si="105"/>
        <v>0</v>
      </c>
      <c r="U108" s="20">
        <f t="shared" si="106"/>
        <v>0</v>
      </c>
      <c r="V108" s="20" t="str">
        <f t="shared" si="98"/>
        <v/>
      </c>
      <c r="W108" s="20" t="str">
        <f t="shared" si="99"/>
        <v/>
      </c>
      <c r="X108" s="20" t="str">
        <f t="shared" si="107"/>
        <v/>
      </c>
      <c r="Y108">
        <f t="shared" si="108"/>
        <v>0</v>
      </c>
      <c r="Z108">
        <f t="shared" si="109"/>
        <v>0</v>
      </c>
      <c r="AA108" s="14" t="b">
        <f t="shared" si="100"/>
        <v>0</v>
      </c>
      <c r="AB108" s="28" t="str">
        <f t="shared" si="110"/>
        <v/>
      </c>
      <c r="AC108" s="20" t="str">
        <f t="shared" si="111"/>
        <v/>
      </c>
      <c r="AD108" s="20" t="str">
        <f t="shared" si="112"/>
        <v/>
      </c>
    </row>
    <row r="109" spans="1:30" ht="15" customHeight="1">
      <c r="A109" s="54"/>
      <c r="B109" s="60"/>
      <c r="C109" s="33" t="str">
        <f t="shared" ref="C109" si="166">IF(OR(LEN(C108)&lt;1,LEN(D108)&lt;1),"","B")</f>
        <v/>
      </c>
      <c r="D109" s="38"/>
      <c r="E109" s="44"/>
      <c r="F109" s="52"/>
      <c r="G109" s="57"/>
      <c r="H109" s="38"/>
      <c r="I109" s="38"/>
      <c r="J109" s="48"/>
      <c r="K109" s="49"/>
      <c r="M109" s="25">
        <f t="shared" si="102"/>
        <v>0</v>
      </c>
      <c r="N109" s="25" t="str">
        <f t="shared" si="121"/>
        <v/>
      </c>
      <c r="O109" s="26" t="str">
        <f t="shared" si="103"/>
        <v/>
      </c>
      <c r="P109" s="26">
        <f t="shared" si="104"/>
        <v>0</v>
      </c>
      <c r="Q109" s="20" t="s">
        <v>41</v>
      </c>
      <c r="R109" s="20">
        <f t="shared" si="96"/>
        <v>0</v>
      </c>
      <c r="S109" s="20">
        <f t="shared" si="97"/>
        <v>0</v>
      </c>
      <c r="T109" s="20">
        <f t="shared" si="105"/>
        <v>0</v>
      </c>
      <c r="U109" s="20">
        <f t="shared" si="106"/>
        <v>0</v>
      </c>
      <c r="V109" s="20" t="str">
        <f t="shared" si="98"/>
        <v/>
      </c>
      <c r="W109" s="20" t="str">
        <f t="shared" si="99"/>
        <v/>
      </c>
      <c r="X109" s="20" t="str">
        <f t="shared" si="107"/>
        <v/>
      </c>
      <c r="Y109">
        <f t="shared" si="108"/>
        <v>0</v>
      </c>
      <c r="Z109">
        <f t="shared" si="109"/>
        <v>0</v>
      </c>
      <c r="AA109" s="14" t="b">
        <f t="shared" si="100"/>
        <v>0</v>
      </c>
      <c r="AB109" s="28" t="str">
        <f t="shared" si="110"/>
        <v/>
      </c>
      <c r="AC109" s="20" t="str">
        <f t="shared" si="111"/>
        <v/>
      </c>
      <c r="AD109" s="20" t="str">
        <f t="shared" si="112"/>
        <v/>
      </c>
    </row>
    <row r="110" spans="1:30" ht="15" customHeight="1">
      <c r="A110" s="54"/>
      <c r="B110" s="60"/>
      <c r="C110" s="33" t="str">
        <f t="shared" ref="C110" si="167">IF(OR(LEN(C109)&lt;1,LEN(D110)&lt;1),"","C")</f>
        <v/>
      </c>
      <c r="D110" s="38"/>
      <c r="E110" s="42"/>
      <c r="F110" s="52"/>
      <c r="G110" s="57"/>
      <c r="H110" s="38"/>
      <c r="I110" s="38"/>
      <c r="J110" s="48"/>
      <c r="K110" s="49"/>
      <c r="M110" s="25">
        <f t="shared" si="102"/>
        <v>0</v>
      </c>
      <c r="N110" s="25" t="str">
        <f t="shared" si="121"/>
        <v/>
      </c>
      <c r="O110" s="26" t="str">
        <f t="shared" si="103"/>
        <v/>
      </c>
      <c r="P110" s="26">
        <f t="shared" si="104"/>
        <v>0</v>
      </c>
      <c r="Q110" s="20" t="s">
        <v>41</v>
      </c>
      <c r="R110" s="20">
        <f t="shared" si="96"/>
        <v>0</v>
      </c>
      <c r="S110" s="20">
        <f t="shared" si="97"/>
        <v>0</v>
      </c>
      <c r="T110" s="20">
        <f t="shared" si="105"/>
        <v>0</v>
      </c>
      <c r="U110" s="20">
        <f t="shared" si="106"/>
        <v>0</v>
      </c>
      <c r="V110" s="20" t="str">
        <f t="shared" si="98"/>
        <v/>
      </c>
      <c r="W110" s="20" t="str">
        <f t="shared" si="99"/>
        <v/>
      </c>
      <c r="X110" s="20" t="str">
        <f t="shared" si="107"/>
        <v/>
      </c>
      <c r="Y110">
        <f t="shared" si="108"/>
        <v>0</v>
      </c>
      <c r="Z110">
        <f t="shared" si="109"/>
        <v>0</v>
      </c>
      <c r="AA110" s="14" t="b">
        <f t="shared" si="100"/>
        <v>0</v>
      </c>
      <c r="AB110" s="28" t="str">
        <f t="shared" si="110"/>
        <v/>
      </c>
      <c r="AC110" s="20" t="str">
        <f t="shared" si="111"/>
        <v/>
      </c>
      <c r="AD110" s="20" t="str">
        <f t="shared" si="112"/>
        <v/>
      </c>
    </row>
    <row r="111" spans="1:30" ht="15" customHeight="1">
      <c r="A111" s="54"/>
      <c r="B111" s="60"/>
      <c r="C111" s="33" t="str">
        <f t="shared" ref="C111" si="168">IF(OR(LEN(C110)&lt;1,LEN(D111)&lt;1),"","D")</f>
        <v/>
      </c>
      <c r="D111" s="38"/>
      <c r="E111" s="44"/>
      <c r="F111" s="52"/>
      <c r="G111" s="57"/>
      <c r="H111" s="38"/>
      <c r="I111" s="38"/>
      <c r="J111" s="48"/>
      <c r="K111" s="49"/>
      <c r="M111" s="25">
        <f t="shared" si="102"/>
        <v>0</v>
      </c>
      <c r="N111" s="25" t="str">
        <f t="shared" si="121"/>
        <v/>
      </c>
      <c r="O111" s="26" t="str">
        <f t="shared" si="103"/>
        <v/>
      </c>
      <c r="P111" s="26">
        <f t="shared" si="104"/>
        <v>0</v>
      </c>
      <c r="Q111" s="20" t="s">
        <v>41</v>
      </c>
      <c r="R111" s="20">
        <f t="shared" si="96"/>
        <v>0</v>
      </c>
      <c r="S111" s="20">
        <f t="shared" si="97"/>
        <v>0</v>
      </c>
      <c r="T111" s="20">
        <f t="shared" si="105"/>
        <v>0</v>
      </c>
      <c r="U111" s="20">
        <f t="shared" si="106"/>
        <v>0</v>
      </c>
      <c r="V111" s="20" t="str">
        <f t="shared" si="98"/>
        <v/>
      </c>
      <c r="W111" s="20" t="str">
        <f t="shared" si="99"/>
        <v/>
      </c>
      <c r="X111" s="20" t="str">
        <f t="shared" si="107"/>
        <v/>
      </c>
      <c r="Y111">
        <f t="shared" si="108"/>
        <v>0</v>
      </c>
      <c r="Z111">
        <f t="shared" si="109"/>
        <v>0</v>
      </c>
      <c r="AA111" s="14" t="b">
        <f t="shared" si="100"/>
        <v>0</v>
      </c>
      <c r="AB111" s="28" t="str">
        <f t="shared" si="110"/>
        <v/>
      </c>
      <c r="AC111" s="20" t="str">
        <f t="shared" si="111"/>
        <v/>
      </c>
      <c r="AD111" s="20" t="str">
        <f t="shared" si="112"/>
        <v/>
      </c>
    </row>
    <row r="112" spans="1:30" ht="15.75" customHeight="1" thickBot="1">
      <c r="A112" s="55"/>
      <c r="B112" s="61"/>
      <c r="C112" s="36" t="str">
        <f t="shared" ref="C112" si="169">IF(OR(LEN(C111)&lt;1,LEN(D112)&lt;1),"","E")</f>
        <v/>
      </c>
      <c r="D112" s="39"/>
      <c r="E112" s="45"/>
      <c r="F112" s="53"/>
      <c r="G112" s="58"/>
      <c r="H112" s="39"/>
      <c r="I112" s="39"/>
      <c r="J112" s="39"/>
      <c r="K112" s="50"/>
      <c r="M112" s="25">
        <f t="shared" si="102"/>
        <v>0</v>
      </c>
      <c r="N112" s="25" t="str">
        <f t="shared" si="121"/>
        <v/>
      </c>
      <c r="O112" s="26" t="str">
        <f t="shared" si="103"/>
        <v/>
      </c>
      <c r="P112" s="26">
        <f t="shared" si="104"/>
        <v>0</v>
      </c>
      <c r="Q112" s="20" t="s">
        <v>41</v>
      </c>
      <c r="R112" s="20">
        <f t="shared" si="96"/>
        <v>0</v>
      </c>
      <c r="S112" s="20">
        <f t="shared" si="97"/>
        <v>0</v>
      </c>
      <c r="T112" s="20">
        <f t="shared" si="105"/>
        <v>0</v>
      </c>
      <c r="U112" s="20">
        <f t="shared" si="106"/>
        <v>0</v>
      </c>
      <c r="V112" s="20" t="str">
        <f t="shared" si="98"/>
        <v/>
      </c>
      <c r="W112" s="20" t="str">
        <f t="shared" si="99"/>
        <v/>
      </c>
      <c r="X112" s="20" t="str">
        <f t="shared" si="107"/>
        <v/>
      </c>
      <c r="Y112">
        <f t="shared" si="108"/>
        <v>0</v>
      </c>
      <c r="Z112">
        <f t="shared" si="109"/>
        <v>0</v>
      </c>
      <c r="AA112" s="14" t="b">
        <f t="shared" si="100"/>
        <v>0</v>
      </c>
      <c r="AB112" s="28" t="str">
        <f t="shared" si="110"/>
        <v/>
      </c>
      <c r="AC112" s="20" t="str">
        <f t="shared" si="111"/>
        <v/>
      </c>
      <c r="AD112" s="20" t="str">
        <f t="shared" si="112"/>
        <v/>
      </c>
    </row>
    <row r="113" spans="1:30" ht="15" customHeight="1">
      <c r="A113" s="54"/>
      <c r="B113" s="59" t="str">
        <f t="shared" ref="B113" si="170">IF(LEN(A113)&lt;1,"",IF(ISBLANK(B107),"",B107+1))</f>
        <v/>
      </c>
      <c r="C113" s="35" t="str">
        <f t="shared" ref="C113" si="171">IF(ISBLANK(A113),"",IF(A113="Uraian Panjang","Teks Uraian","Teks Soal"))</f>
        <v/>
      </c>
      <c r="D113" s="40"/>
      <c r="E113" s="41"/>
      <c r="F113" s="52" t="str">
        <f t="shared" ref="F113" si="172">IF(ISBLANK(A113),"",IF(A113="Pilihan Ganda","Centang salah satu jawaban disamping pada kolom KUNCI",IF(A113="Jawaban Jamak","Centang beberapa jawaban disamping pada kolom KUNCI",IF(A113="Uraian Panjang","Pastikan tidak ada jawaban yang tercentang pada kolom KUNCI",IF(A113="Esai Koreksi Otomatis","Kunci jawaban adalah teks opsi dan centang opsi tersebut pada kolom KUNCI","ISIKAN JODOHNYA PADA KOLOM KUNCI")))))</f>
        <v/>
      </c>
      <c r="G113" s="56" t="str">
        <f>IF(LEN(A113)&lt;1,"",IF(AA113=FALSE,"Ada kesalahan, mohon perhatikan kolom KETERANGAN",""))</f>
        <v/>
      </c>
      <c r="H113" s="40"/>
      <c r="I113" s="40"/>
      <c r="J113" s="46"/>
      <c r="K113" s="47"/>
      <c r="M113" s="25">
        <f t="shared" si="102"/>
        <v>0</v>
      </c>
      <c r="N113" s="25" t="str">
        <f t="shared" si="121"/>
        <v/>
      </c>
      <c r="O113" s="26" t="str">
        <f t="shared" si="103"/>
        <v/>
      </c>
      <c r="P113" s="26">
        <f t="shared" si="104"/>
        <v>0</v>
      </c>
      <c r="Q113" s="20" t="s">
        <v>41</v>
      </c>
      <c r="R113" s="20">
        <f t="shared" si="96"/>
        <v>0</v>
      </c>
      <c r="S113" s="20">
        <f t="shared" si="97"/>
        <v>0</v>
      </c>
      <c r="T113" s="20">
        <f t="shared" si="105"/>
        <v>0</v>
      </c>
      <c r="U113" s="20">
        <f t="shared" si="106"/>
        <v>0</v>
      </c>
      <c r="V113" s="20" t="str">
        <f t="shared" si="98"/>
        <v/>
      </c>
      <c r="W113" s="20" t="str">
        <f t="shared" si="99"/>
        <v/>
      </c>
      <c r="X113" s="20" t="str">
        <f t="shared" si="107"/>
        <v/>
      </c>
      <c r="Y113">
        <f t="shared" si="108"/>
        <v>0</v>
      </c>
      <c r="Z113">
        <f t="shared" si="109"/>
        <v>0</v>
      </c>
      <c r="AA113" s="14" t="b">
        <f t="shared" si="100"/>
        <v>0</v>
      </c>
      <c r="AB113" s="28" t="str">
        <f t="shared" si="110"/>
        <v/>
      </c>
      <c r="AC113" s="20" t="str">
        <f t="shared" si="111"/>
        <v/>
      </c>
      <c r="AD113" s="20" t="str">
        <f t="shared" si="112"/>
        <v/>
      </c>
    </row>
    <row r="114" spans="1:30" ht="15" customHeight="1">
      <c r="A114" s="54"/>
      <c r="B114" s="60"/>
      <c r="C114" s="33" t="str">
        <f t="shared" ref="C114" si="173">IF(C113="Teks Uraian","",IF(OR(LEN(C113)&lt;1,LEN(D114)&lt;1),"","A"))</f>
        <v/>
      </c>
      <c r="D114" s="38"/>
      <c r="E114" s="44"/>
      <c r="F114" s="52"/>
      <c r="G114" s="57"/>
      <c r="H114" s="38"/>
      <c r="I114" s="38"/>
      <c r="J114" s="48"/>
      <c r="K114" s="49"/>
      <c r="M114" s="25">
        <f t="shared" si="102"/>
        <v>0</v>
      </c>
      <c r="N114" s="25" t="str">
        <f t="shared" si="121"/>
        <v/>
      </c>
      <c r="O114" s="26" t="str">
        <f t="shared" si="103"/>
        <v/>
      </c>
      <c r="P114" s="26">
        <f t="shared" si="104"/>
        <v>0</v>
      </c>
      <c r="Q114" s="20" t="s">
        <v>41</v>
      </c>
      <c r="R114" s="20">
        <f t="shared" si="96"/>
        <v>0</v>
      </c>
      <c r="S114" s="20">
        <f t="shared" si="97"/>
        <v>0</v>
      </c>
      <c r="T114" s="20">
        <f t="shared" si="105"/>
        <v>0</v>
      </c>
      <c r="U114" s="20">
        <f t="shared" si="106"/>
        <v>0</v>
      </c>
      <c r="V114" s="20" t="str">
        <f t="shared" si="98"/>
        <v/>
      </c>
      <c r="W114" s="20" t="str">
        <f t="shared" si="99"/>
        <v/>
      </c>
      <c r="X114" s="20" t="str">
        <f t="shared" si="107"/>
        <v/>
      </c>
      <c r="Y114">
        <f t="shared" si="108"/>
        <v>0</v>
      </c>
      <c r="Z114">
        <f t="shared" si="109"/>
        <v>0</v>
      </c>
      <c r="AA114" s="14" t="b">
        <f t="shared" si="100"/>
        <v>0</v>
      </c>
      <c r="AB114" s="28" t="str">
        <f t="shared" si="110"/>
        <v/>
      </c>
      <c r="AC114" s="20" t="str">
        <f t="shared" si="111"/>
        <v/>
      </c>
      <c r="AD114" s="20" t="str">
        <f t="shared" si="112"/>
        <v/>
      </c>
    </row>
    <row r="115" spans="1:30" ht="15" customHeight="1">
      <c r="A115" s="54"/>
      <c r="B115" s="60"/>
      <c r="C115" s="33" t="str">
        <f t="shared" ref="C115" si="174">IF(OR(LEN(C114)&lt;1,LEN(D114)&lt;1),"","B")</f>
        <v/>
      </c>
      <c r="D115" s="38"/>
      <c r="E115" s="44"/>
      <c r="F115" s="52"/>
      <c r="G115" s="57"/>
      <c r="H115" s="38"/>
      <c r="I115" s="38"/>
      <c r="J115" s="48"/>
      <c r="K115" s="49"/>
      <c r="M115" s="25">
        <f t="shared" si="102"/>
        <v>0</v>
      </c>
      <c r="N115" s="25" t="str">
        <f t="shared" si="121"/>
        <v/>
      </c>
      <c r="O115" s="26" t="str">
        <f t="shared" si="103"/>
        <v/>
      </c>
      <c r="P115" s="26">
        <f t="shared" si="104"/>
        <v>0</v>
      </c>
      <c r="Q115" s="20" t="s">
        <v>41</v>
      </c>
      <c r="R115" s="20">
        <f t="shared" si="96"/>
        <v>0</v>
      </c>
      <c r="S115" s="20">
        <f t="shared" si="97"/>
        <v>0</v>
      </c>
      <c r="T115" s="20">
        <f t="shared" si="105"/>
        <v>0</v>
      </c>
      <c r="U115" s="20">
        <f t="shared" si="106"/>
        <v>0</v>
      </c>
      <c r="V115" s="20" t="str">
        <f t="shared" si="98"/>
        <v/>
      </c>
      <c r="W115" s="20" t="str">
        <f t="shared" si="99"/>
        <v/>
      </c>
      <c r="X115" s="20" t="str">
        <f t="shared" si="107"/>
        <v/>
      </c>
      <c r="Y115">
        <f t="shared" si="108"/>
        <v>0</v>
      </c>
      <c r="Z115">
        <f t="shared" si="109"/>
        <v>0</v>
      </c>
      <c r="AA115" s="14" t="b">
        <f t="shared" si="100"/>
        <v>0</v>
      </c>
      <c r="AB115" s="28" t="str">
        <f t="shared" si="110"/>
        <v/>
      </c>
      <c r="AC115" s="20" t="str">
        <f t="shared" si="111"/>
        <v/>
      </c>
      <c r="AD115" s="20" t="str">
        <f t="shared" si="112"/>
        <v/>
      </c>
    </row>
    <row r="116" spans="1:30" ht="15" customHeight="1">
      <c r="A116" s="54"/>
      <c r="B116" s="60"/>
      <c r="C116" s="33" t="str">
        <f t="shared" ref="C116" si="175">IF(OR(LEN(C115)&lt;1,LEN(D116)&lt;1),"","C")</f>
        <v/>
      </c>
      <c r="D116" s="38"/>
      <c r="E116" s="42"/>
      <c r="F116" s="52"/>
      <c r="G116" s="57"/>
      <c r="H116" s="38"/>
      <c r="I116" s="38"/>
      <c r="J116" s="48"/>
      <c r="K116" s="49"/>
      <c r="M116" s="25">
        <f t="shared" si="102"/>
        <v>0</v>
      </c>
      <c r="N116" s="25" t="str">
        <f t="shared" si="121"/>
        <v/>
      </c>
      <c r="O116" s="26" t="str">
        <f t="shared" si="103"/>
        <v/>
      </c>
      <c r="P116" s="26">
        <f t="shared" si="104"/>
        <v>0</v>
      </c>
      <c r="Q116" s="20" t="s">
        <v>41</v>
      </c>
      <c r="R116" s="20">
        <f t="shared" si="96"/>
        <v>0</v>
      </c>
      <c r="S116" s="20">
        <f t="shared" si="97"/>
        <v>0</v>
      </c>
      <c r="T116" s="20">
        <f t="shared" si="105"/>
        <v>0</v>
      </c>
      <c r="U116" s="20">
        <f t="shared" si="106"/>
        <v>0</v>
      </c>
      <c r="V116" s="20" t="str">
        <f t="shared" si="98"/>
        <v/>
      </c>
      <c r="W116" s="20" t="str">
        <f t="shared" si="99"/>
        <v/>
      </c>
      <c r="X116" s="20" t="str">
        <f t="shared" si="107"/>
        <v/>
      </c>
      <c r="Y116">
        <f t="shared" si="108"/>
        <v>0</v>
      </c>
      <c r="Z116">
        <f t="shared" si="109"/>
        <v>0</v>
      </c>
      <c r="AA116" s="14" t="b">
        <f t="shared" si="100"/>
        <v>0</v>
      </c>
      <c r="AB116" s="28" t="str">
        <f t="shared" si="110"/>
        <v/>
      </c>
      <c r="AC116" s="20" t="str">
        <f t="shared" si="111"/>
        <v/>
      </c>
      <c r="AD116" s="20" t="str">
        <f t="shared" si="112"/>
        <v/>
      </c>
    </row>
    <row r="117" spans="1:30" ht="15" customHeight="1">
      <c r="A117" s="54"/>
      <c r="B117" s="60"/>
      <c r="C117" s="33" t="str">
        <f t="shared" ref="C117" si="176">IF(OR(LEN(C116)&lt;1,LEN(D117)&lt;1),"","D")</f>
        <v/>
      </c>
      <c r="D117" s="38"/>
      <c r="E117" s="44"/>
      <c r="F117" s="52"/>
      <c r="G117" s="57"/>
      <c r="H117" s="38"/>
      <c r="I117" s="38"/>
      <c r="J117" s="48"/>
      <c r="K117" s="49"/>
      <c r="M117" s="25">
        <f t="shared" si="102"/>
        <v>0</v>
      </c>
      <c r="N117" s="25" t="str">
        <f t="shared" si="121"/>
        <v/>
      </c>
      <c r="O117" s="26" t="str">
        <f t="shared" si="103"/>
        <v/>
      </c>
      <c r="P117" s="26">
        <f t="shared" si="104"/>
        <v>0</v>
      </c>
      <c r="Q117" s="20" t="s">
        <v>41</v>
      </c>
      <c r="R117" s="20">
        <f t="shared" si="96"/>
        <v>0</v>
      </c>
      <c r="S117" s="20">
        <f t="shared" si="97"/>
        <v>0</v>
      </c>
      <c r="T117" s="20">
        <f t="shared" si="105"/>
        <v>0</v>
      </c>
      <c r="U117" s="20">
        <f t="shared" si="106"/>
        <v>0</v>
      </c>
      <c r="V117" s="20" t="str">
        <f t="shared" si="98"/>
        <v/>
      </c>
      <c r="W117" s="20" t="str">
        <f t="shared" si="99"/>
        <v/>
      </c>
      <c r="X117" s="20" t="str">
        <f t="shared" si="107"/>
        <v/>
      </c>
      <c r="Y117">
        <f t="shared" si="108"/>
        <v>0</v>
      </c>
      <c r="Z117">
        <f t="shared" si="109"/>
        <v>0</v>
      </c>
      <c r="AA117" s="14" t="b">
        <f t="shared" si="100"/>
        <v>0</v>
      </c>
      <c r="AB117" s="28" t="str">
        <f t="shared" si="110"/>
        <v/>
      </c>
      <c r="AC117" s="20" t="str">
        <f t="shared" si="111"/>
        <v/>
      </c>
      <c r="AD117" s="20" t="str">
        <f t="shared" si="112"/>
        <v/>
      </c>
    </row>
    <row r="118" spans="1:30" ht="15.75" customHeight="1" thickBot="1">
      <c r="A118" s="55"/>
      <c r="B118" s="61"/>
      <c r="C118" s="36" t="str">
        <f t="shared" ref="C118" si="177">IF(OR(LEN(C117)&lt;1,LEN(D118)&lt;1),"","E")</f>
        <v/>
      </c>
      <c r="D118" s="39"/>
      <c r="E118" s="45"/>
      <c r="F118" s="53"/>
      <c r="G118" s="58"/>
      <c r="H118" s="39"/>
      <c r="I118" s="39"/>
      <c r="J118" s="39"/>
      <c r="K118" s="50"/>
      <c r="M118" s="25">
        <f t="shared" si="102"/>
        <v>0</v>
      </c>
      <c r="N118" s="25" t="str">
        <f t="shared" si="121"/>
        <v/>
      </c>
      <c r="O118" s="26" t="str">
        <f t="shared" si="103"/>
        <v/>
      </c>
      <c r="P118" s="26">
        <f t="shared" si="104"/>
        <v>0</v>
      </c>
      <c r="Q118" s="20" t="s">
        <v>41</v>
      </c>
      <c r="R118" s="20">
        <f t="shared" si="96"/>
        <v>0</v>
      </c>
      <c r="S118" s="20">
        <f t="shared" si="97"/>
        <v>0</v>
      </c>
      <c r="T118" s="20">
        <f t="shared" si="105"/>
        <v>0</v>
      </c>
      <c r="U118" s="20">
        <f t="shared" si="106"/>
        <v>0</v>
      </c>
      <c r="V118" s="20" t="str">
        <f t="shared" si="98"/>
        <v/>
      </c>
      <c r="W118" s="20" t="str">
        <f t="shared" si="99"/>
        <v/>
      </c>
      <c r="X118" s="20" t="str">
        <f t="shared" si="107"/>
        <v/>
      </c>
      <c r="Y118">
        <f t="shared" si="108"/>
        <v>0</v>
      </c>
      <c r="Z118">
        <f t="shared" si="109"/>
        <v>0</v>
      </c>
      <c r="AA118" s="14" t="b">
        <f t="shared" si="100"/>
        <v>0</v>
      </c>
      <c r="AB118" s="28" t="str">
        <f t="shared" si="110"/>
        <v/>
      </c>
      <c r="AC118" s="20" t="str">
        <f t="shared" si="111"/>
        <v/>
      </c>
      <c r="AD118" s="20" t="str">
        <f t="shared" si="112"/>
        <v/>
      </c>
    </row>
    <row r="119" spans="1:30" ht="15" customHeight="1">
      <c r="A119" s="54"/>
      <c r="B119" s="59" t="str">
        <f t="shared" ref="B119" si="178">IF(LEN(A119)&lt;1,"",IF(ISBLANK(B113),"",B113+1))</f>
        <v/>
      </c>
      <c r="C119" s="35" t="str">
        <f t="shared" ref="C119" si="179">IF(ISBLANK(A119),"",IF(A119="Uraian Panjang","Teks Uraian","Teks Soal"))</f>
        <v/>
      </c>
      <c r="D119" s="40"/>
      <c r="E119" s="41"/>
      <c r="F119" s="52" t="str">
        <f t="shared" ref="F119" si="180">IF(ISBLANK(A119),"",IF(A119="Pilihan Ganda","Centang salah satu jawaban disamping pada kolom KUNCI",IF(A119="Jawaban Jamak","Centang beberapa jawaban disamping pada kolom KUNCI",IF(A119="Uraian Panjang","Pastikan tidak ada jawaban yang tercentang pada kolom KUNCI",IF(A119="Esai Koreksi Otomatis","Kunci jawaban adalah teks opsi dan centang opsi tersebut pada kolom KUNCI","ISIKAN JODOHNYA PADA KOLOM KUNCI")))))</f>
        <v/>
      </c>
      <c r="G119" s="56" t="str">
        <f>IF(LEN(A119)&lt;1,"",IF(AA119=FALSE,"Ada kesalahan, mohon perhatikan kolom KETERANGAN",""))</f>
        <v/>
      </c>
      <c r="H119" s="40"/>
      <c r="I119" s="40"/>
      <c r="J119" s="46"/>
      <c r="K119" s="47"/>
      <c r="M119" s="25">
        <f t="shared" si="102"/>
        <v>0</v>
      </c>
      <c r="N119" s="25" t="str">
        <f t="shared" si="121"/>
        <v/>
      </c>
      <c r="O119" s="26" t="str">
        <f t="shared" si="103"/>
        <v/>
      </c>
      <c r="P119" s="26">
        <f t="shared" si="104"/>
        <v>0</v>
      </c>
      <c r="Q119" s="20" t="s">
        <v>41</v>
      </c>
      <c r="R119" s="20">
        <f t="shared" si="96"/>
        <v>0</v>
      </c>
      <c r="S119" s="20">
        <f t="shared" si="97"/>
        <v>0</v>
      </c>
      <c r="T119" s="20">
        <f t="shared" si="105"/>
        <v>0</v>
      </c>
      <c r="U119" s="20">
        <f t="shared" si="106"/>
        <v>0</v>
      </c>
      <c r="V119" s="20" t="str">
        <f t="shared" si="98"/>
        <v/>
      </c>
      <c r="W119" s="20" t="str">
        <f t="shared" si="99"/>
        <v/>
      </c>
      <c r="X119" s="20" t="str">
        <f t="shared" si="107"/>
        <v/>
      </c>
      <c r="Y119">
        <f t="shared" si="108"/>
        <v>0</v>
      </c>
      <c r="Z119">
        <f t="shared" si="109"/>
        <v>0</v>
      </c>
      <c r="AA119" s="14" t="b">
        <f t="shared" si="100"/>
        <v>0</v>
      </c>
      <c r="AB119" s="28" t="str">
        <f t="shared" si="110"/>
        <v/>
      </c>
      <c r="AC119" s="20" t="str">
        <f t="shared" si="111"/>
        <v/>
      </c>
      <c r="AD119" s="20" t="str">
        <f t="shared" si="112"/>
        <v/>
      </c>
    </row>
    <row r="120" spans="1:30" ht="15" customHeight="1">
      <c r="A120" s="54"/>
      <c r="B120" s="60"/>
      <c r="C120" s="33" t="str">
        <f t="shared" ref="C120" si="181">IF(C119="Teks Uraian","",IF(OR(LEN(C119)&lt;1,LEN(D120)&lt;1),"","A"))</f>
        <v/>
      </c>
      <c r="D120" s="38"/>
      <c r="E120" s="44"/>
      <c r="F120" s="52"/>
      <c r="G120" s="57"/>
      <c r="H120" s="38"/>
      <c r="I120" s="38"/>
      <c r="J120" s="48"/>
      <c r="K120" s="49"/>
      <c r="M120" s="25">
        <f t="shared" si="102"/>
        <v>0</v>
      </c>
      <c r="N120" s="25" t="str">
        <f t="shared" si="121"/>
        <v/>
      </c>
      <c r="O120" s="26" t="str">
        <f t="shared" si="103"/>
        <v/>
      </c>
      <c r="P120" s="26">
        <f t="shared" si="104"/>
        <v>0</v>
      </c>
      <c r="Q120" s="20" t="s">
        <v>41</v>
      </c>
      <c r="R120" s="20">
        <f t="shared" si="96"/>
        <v>0</v>
      </c>
      <c r="S120" s="20">
        <f t="shared" si="97"/>
        <v>0</v>
      </c>
      <c r="T120" s="20">
        <f t="shared" si="105"/>
        <v>0</v>
      </c>
      <c r="U120" s="20">
        <f t="shared" si="106"/>
        <v>0</v>
      </c>
      <c r="V120" s="20" t="str">
        <f t="shared" si="98"/>
        <v/>
      </c>
      <c r="W120" s="20" t="str">
        <f t="shared" si="99"/>
        <v/>
      </c>
      <c r="X120" s="20" t="str">
        <f t="shared" si="107"/>
        <v/>
      </c>
      <c r="Y120">
        <f t="shared" si="108"/>
        <v>0</v>
      </c>
      <c r="Z120">
        <f t="shared" si="109"/>
        <v>0</v>
      </c>
      <c r="AA120" s="14" t="b">
        <f t="shared" si="100"/>
        <v>0</v>
      </c>
      <c r="AB120" s="28" t="str">
        <f t="shared" si="110"/>
        <v/>
      </c>
      <c r="AC120" s="20" t="str">
        <f t="shared" si="111"/>
        <v/>
      </c>
      <c r="AD120" s="20" t="str">
        <f t="shared" si="112"/>
        <v/>
      </c>
    </row>
    <row r="121" spans="1:30" ht="15" customHeight="1">
      <c r="A121" s="54"/>
      <c r="B121" s="60"/>
      <c r="C121" s="33" t="str">
        <f t="shared" ref="C121" si="182">IF(OR(LEN(C120)&lt;1,LEN(D120)&lt;1),"","B")</f>
        <v/>
      </c>
      <c r="D121" s="38"/>
      <c r="E121" s="44"/>
      <c r="F121" s="52"/>
      <c r="G121" s="57"/>
      <c r="H121" s="38"/>
      <c r="I121" s="38"/>
      <c r="J121" s="48"/>
      <c r="K121" s="49"/>
      <c r="M121" s="25">
        <f t="shared" si="102"/>
        <v>0</v>
      </c>
      <c r="N121" s="25" t="str">
        <f t="shared" si="121"/>
        <v/>
      </c>
      <c r="O121" s="26" t="str">
        <f t="shared" si="103"/>
        <v/>
      </c>
      <c r="P121" s="26">
        <f t="shared" si="104"/>
        <v>0</v>
      </c>
      <c r="Q121" s="20" t="s">
        <v>41</v>
      </c>
      <c r="R121" s="20">
        <f t="shared" si="96"/>
        <v>0</v>
      </c>
      <c r="S121" s="20">
        <f t="shared" si="97"/>
        <v>0</v>
      </c>
      <c r="T121" s="20">
        <f t="shared" si="105"/>
        <v>0</v>
      </c>
      <c r="U121" s="20">
        <f t="shared" si="106"/>
        <v>0</v>
      </c>
      <c r="V121" s="20" t="str">
        <f t="shared" si="98"/>
        <v/>
      </c>
      <c r="W121" s="20" t="str">
        <f t="shared" si="99"/>
        <v/>
      </c>
      <c r="X121" s="20" t="str">
        <f t="shared" si="107"/>
        <v/>
      </c>
      <c r="Y121">
        <f t="shared" si="108"/>
        <v>0</v>
      </c>
      <c r="Z121">
        <f t="shared" si="109"/>
        <v>0</v>
      </c>
      <c r="AA121" s="14" t="b">
        <f t="shared" si="100"/>
        <v>0</v>
      </c>
      <c r="AB121" s="28" t="str">
        <f t="shared" si="110"/>
        <v/>
      </c>
      <c r="AC121" s="20" t="str">
        <f t="shared" si="111"/>
        <v/>
      </c>
      <c r="AD121" s="20" t="str">
        <f t="shared" si="112"/>
        <v/>
      </c>
    </row>
    <row r="122" spans="1:30" ht="15" customHeight="1">
      <c r="A122" s="54"/>
      <c r="B122" s="60"/>
      <c r="C122" s="33" t="str">
        <f t="shared" ref="C122" si="183">IF(OR(LEN(C121)&lt;1,LEN(D122)&lt;1),"","C")</f>
        <v/>
      </c>
      <c r="D122" s="38"/>
      <c r="E122" s="42"/>
      <c r="F122" s="52"/>
      <c r="G122" s="57"/>
      <c r="H122" s="38"/>
      <c r="I122" s="38"/>
      <c r="J122" s="48"/>
      <c r="K122" s="49"/>
      <c r="M122" s="25">
        <f t="shared" si="102"/>
        <v>0</v>
      </c>
      <c r="N122" s="25" t="str">
        <f t="shared" si="121"/>
        <v/>
      </c>
      <c r="O122" s="26" t="str">
        <f t="shared" si="103"/>
        <v/>
      </c>
      <c r="P122" s="26">
        <f t="shared" si="104"/>
        <v>0</v>
      </c>
      <c r="Q122" s="20" t="s">
        <v>41</v>
      </c>
      <c r="R122" s="20">
        <f t="shared" si="96"/>
        <v>0</v>
      </c>
      <c r="S122" s="20">
        <f t="shared" si="97"/>
        <v>0</v>
      </c>
      <c r="T122" s="20">
        <f t="shared" si="105"/>
        <v>0</v>
      </c>
      <c r="U122" s="20">
        <f t="shared" si="106"/>
        <v>0</v>
      </c>
      <c r="V122" s="20" t="str">
        <f t="shared" si="98"/>
        <v/>
      </c>
      <c r="W122" s="20" t="str">
        <f t="shared" si="99"/>
        <v/>
      </c>
      <c r="X122" s="20" t="str">
        <f t="shared" si="107"/>
        <v/>
      </c>
      <c r="Y122">
        <f t="shared" si="108"/>
        <v>0</v>
      </c>
      <c r="Z122">
        <f t="shared" si="109"/>
        <v>0</v>
      </c>
      <c r="AA122" s="14" t="b">
        <f t="shared" si="100"/>
        <v>0</v>
      </c>
      <c r="AB122" s="28" t="str">
        <f t="shared" si="110"/>
        <v/>
      </c>
      <c r="AC122" s="20" t="str">
        <f t="shared" si="111"/>
        <v/>
      </c>
      <c r="AD122" s="20" t="str">
        <f t="shared" si="112"/>
        <v/>
      </c>
    </row>
    <row r="123" spans="1:30" ht="15" customHeight="1">
      <c r="A123" s="54"/>
      <c r="B123" s="60"/>
      <c r="C123" s="33" t="str">
        <f t="shared" ref="C123" si="184">IF(OR(LEN(C122)&lt;1,LEN(D123)&lt;1),"","D")</f>
        <v/>
      </c>
      <c r="D123" s="38"/>
      <c r="E123" s="44"/>
      <c r="F123" s="52"/>
      <c r="G123" s="57"/>
      <c r="H123" s="38"/>
      <c r="I123" s="38"/>
      <c r="J123" s="48"/>
      <c r="K123" s="49"/>
      <c r="M123" s="25">
        <f t="shared" si="102"/>
        <v>0</v>
      </c>
      <c r="N123" s="25" t="str">
        <f t="shared" si="121"/>
        <v/>
      </c>
      <c r="O123" s="26" t="str">
        <f t="shared" si="103"/>
        <v/>
      </c>
      <c r="P123" s="26">
        <f t="shared" si="104"/>
        <v>0</v>
      </c>
      <c r="Q123" s="20" t="s">
        <v>41</v>
      </c>
      <c r="R123" s="20">
        <f t="shared" si="96"/>
        <v>0</v>
      </c>
      <c r="S123" s="20">
        <f t="shared" si="97"/>
        <v>0</v>
      </c>
      <c r="T123" s="20">
        <f t="shared" si="105"/>
        <v>0</v>
      </c>
      <c r="U123" s="20">
        <f t="shared" si="106"/>
        <v>0</v>
      </c>
      <c r="V123" s="20" t="str">
        <f t="shared" si="98"/>
        <v/>
      </c>
      <c r="W123" s="20" t="str">
        <f t="shared" si="99"/>
        <v/>
      </c>
      <c r="X123" s="20" t="str">
        <f t="shared" si="107"/>
        <v/>
      </c>
      <c r="Y123">
        <f t="shared" si="108"/>
        <v>0</v>
      </c>
      <c r="Z123">
        <f t="shared" si="109"/>
        <v>0</v>
      </c>
      <c r="AA123" s="14" t="b">
        <f t="shared" si="100"/>
        <v>0</v>
      </c>
      <c r="AB123" s="28" t="str">
        <f t="shared" si="110"/>
        <v/>
      </c>
      <c r="AC123" s="20" t="str">
        <f t="shared" si="111"/>
        <v/>
      </c>
      <c r="AD123" s="20" t="str">
        <f t="shared" si="112"/>
        <v/>
      </c>
    </row>
    <row r="124" spans="1:30" ht="15.75" customHeight="1" thickBot="1">
      <c r="A124" s="55"/>
      <c r="B124" s="61"/>
      <c r="C124" s="36" t="str">
        <f t="shared" ref="C124" si="185">IF(OR(LEN(C123)&lt;1,LEN(D124)&lt;1),"","E")</f>
        <v/>
      </c>
      <c r="D124" s="39"/>
      <c r="E124" s="45"/>
      <c r="F124" s="53"/>
      <c r="G124" s="58"/>
      <c r="H124" s="39"/>
      <c r="I124" s="39"/>
      <c r="J124" s="39"/>
      <c r="K124" s="50"/>
      <c r="M124" s="25">
        <f t="shared" si="102"/>
        <v>0</v>
      </c>
      <c r="N124" s="25" t="str">
        <f t="shared" si="121"/>
        <v/>
      </c>
      <c r="O124" s="26" t="str">
        <f t="shared" si="103"/>
        <v/>
      </c>
      <c r="P124" s="26">
        <f t="shared" si="104"/>
        <v>0</v>
      </c>
      <c r="Q124" s="20" t="s">
        <v>41</v>
      </c>
      <c r="R124" s="20">
        <f t="shared" si="96"/>
        <v>0</v>
      </c>
      <c r="S124" s="20">
        <f t="shared" si="97"/>
        <v>0</v>
      </c>
      <c r="T124" s="20">
        <f t="shared" si="105"/>
        <v>0</v>
      </c>
      <c r="U124" s="20">
        <f t="shared" si="106"/>
        <v>0</v>
      </c>
      <c r="V124" s="20" t="str">
        <f t="shared" si="98"/>
        <v/>
      </c>
      <c r="W124" s="20" t="str">
        <f t="shared" si="99"/>
        <v/>
      </c>
      <c r="X124" s="20" t="str">
        <f t="shared" si="107"/>
        <v/>
      </c>
      <c r="Y124">
        <f t="shared" si="108"/>
        <v>0</v>
      </c>
      <c r="Z124">
        <f t="shared" si="109"/>
        <v>0</v>
      </c>
      <c r="AA124" s="14" t="b">
        <f t="shared" si="100"/>
        <v>0</v>
      </c>
      <c r="AB124" s="28" t="str">
        <f t="shared" si="110"/>
        <v/>
      </c>
      <c r="AC124" s="20" t="str">
        <f t="shared" si="111"/>
        <v/>
      </c>
      <c r="AD124" s="20" t="str">
        <f t="shared" si="112"/>
        <v/>
      </c>
    </row>
    <row r="125" spans="1:30" ht="15" customHeight="1">
      <c r="A125" s="54"/>
      <c r="B125" s="59" t="str">
        <f t="shared" ref="B125" si="186">IF(LEN(A125)&lt;1,"",IF(ISBLANK(B119),"",B119+1))</f>
        <v/>
      </c>
      <c r="C125" s="35" t="str">
        <f t="shared" ref="C125" si="187">IF(ISBLANK(A125),"",IF(A125="Uraian Panjang","Teks Uraian","Teks Soal"))</f>
        <v/>
      </c>
      <c r="D125" s="40"/>
      <c r="E125" s="41"/>
      <c r="F125" s="52" t="str">
        <f t="shared" ref="F125" si="188">IF(ISBLANK(A125),"",IF(A125="Pilihan Ganda","Centang salah satu jawaban disamping pada kolom KUNCI",IF(A125="Jawaban Jamak","Centang beberapa jawaban disamping pada kolom KUNCI",IF(A125="Uraian Panjang","Pastikan tidak ada jawaban yang tercentang pada kolom KUNCI",IF(A125="Esai Koreksi Otomatis","Kunci jawaban adalah teks opsi dan centang opsi tersebut pada kolom KUNCI","ISIKAN JODOHNYA PADA KOLOM KUNCI")))))</f>
        <v/>
      </c>
      <c r="G125" s="56" t="str">
        <f>IF(LEN(A125)&lt;1,"",IF(AA125=FALSE,"Ada kesalahan, mohon perhatikan kolom KETERANGAN",""))</f>
        <v/>
      </c>
      <c r="H125" s="40"/>
      <c r="I125" s="40"/>
      <c r="J125" s="46"/>
      <c r="K125" s="47"/>
      <c r="M125" s="25">
        <f t="shared" si="102"/>
        <v>0</v>
      </c>
      <c r="N125" s="25" t="str">
        <f t="shared" si="121"/>
        <v/>
      </c>
      <c r="O125" s="26" t="str">
        <f t="shared" si="103"/>
        <v/>
      </c>
      <c r="P125" s="26">
        <f t="shared" si="104"/>
        <v>0</v>
      </c>
      <c r="Q125" s="20" t="s">
        <v>41</v>
      </c>
      <c r="R125" s="20">
        <f t="shared" si="96"/>
        <v>0</v>
      </c>
      <c r="S125" s="20">
        <f t="shared" si="97"/>
        <v>0</v>
      </c>
      <c r="T125" s="20">
        <f t="shared" si="105"/>
        <v>0</v>
      </c>
      <c r="U125" s="20">
        <f t="shared" si="106"/>
        <v>0</v>
      </c>
      <c r="V125" s="20" t="str">
        <f t="shared" si="98"/>
        <v/>
      </c>
      <c r="W125" s="20" t="str">
        <f t="shared" si="99"/>
        <v/>
      </c>
      <c r="X125" s="20" t="str">
        <f t="shared" si="107"/>
        <v/>
      </c>
      <c r="Y125">
        <f t="shared" si="108"/>
        <v>0</v>
      </c>
      <c r="Z125">
        <f t="shared" si="109"/>
        <v>0</v>
      </c>
      <c r="AA125" s="14" t="b">
        <f t="shared" si="100"/>
        <v>0</v>
      </c>
      <c r="AB125" s="28" t="str">
        <f t="shared" si="110"/>
        <v/>
      </c>
      <c r="AC125" s="20" t="str">
        <f t="shared" si="111"/>
        <v/>
      </c>
      <c r="AD125" s="20" t="str">
        <f t="shared" si="112"/>
        <v/>
      </c>
    </row>
    <row r="126" spans="1:30" ht="15" customHeight="1">
      <c r="A126" s="54"/>
      <c r="B126" s="60"/>
      <c r="C126" s="33" t="str">
        <f t="shared" ref="C126" si="189">IF(C125="Teks Uraian","",IF(OR(LEN(C125)&lt;1,LEN(D126)&lt;1),"","A"))</f>
        <v/>
      </c>
      <c r="D126" s="38"/>
      <c r="E126" s="44"/>
      <c r="F126" s="52"/>
      <c r="G126" s="57"/>
      <c r="H126" s="38"/>
      <c r="I126" s="38"/>
      <c r="J126" s="48"/>
      <c r="K126" s="49"/>
      <c r="M126" s="25">
        <f t="shared" si="102"/>
        <v>0</v>
      </c>
      <c r="N126" s="25" t="str">
        <f t="shared" si="121"/>
        <v/>
      </c>
      <c r="O126" s="26" t="str">
        <f t="shared" si="103"/>
        <v/>
      </c>
      <c r="P126" s="26">
        <f t="shared" si="104"/>
        <v>0</v>
      </c>
      <c r="Q126" s="20" t="s">
        <v>41</v>
      </c>
      <c r="R126" s="20">
        <f t="shared" si="96"/>
        <v>0</v>
      </c>
      <c r="S126" s="20">
        <f t="shared" si="97"/>
        <v>0</v>
      </c>
      <c r="T126" s="20">
        <f t="shared" si="105"/>
        <v>0</v>
      </c>
      <c r="U126" s="20">
        <f t="shared" si="106"/>
        <v>0</v>
      </c>
      <c r="V126" s="20" t="str">
        <f t="shared" si="98"/>
        <v/>
      </c>
      <c r="W126" s="20" t="str">
        <f t="shared" si="99"/>
        <v/>
      </c>
      <c r="X126" s="20" t="str">
        <f t="shared" si="107"/>
        <v/>
      </c>
      <c r="Y126">
        <f t="shared" si="108"/>
        <v>0</v>
      </c>
      <c r="Z126">
        <f t="shared" si="109"/>
        <v>0</v>
      </c>
      <c r="AA126" s="14" t="b">
        <f t="shared" si="100"/>
        <v>0</v>
      </c>
      <c r="AB126" s="28" t="str">
        <f t="shared" si="110"/>
        <v/>
      </c>
      <c r="AC126" s="20" t="str">
        <f t="shared" si="111"/>
        <v/>
      </c>
      <c r="AD126" s="20" t="str">
        <f t="shared" si="112"/>
        <v/>
      </c>
    </row>
    <row r="127" spans="1:30" ht="15" customHeight="1">
      <c r="A127" s="54"/>
      <c r="B127" s="60"/>
      <c r="C127" s="33" t="str">
        <f t="shared" ref="C127" si="190">IF(OR(LEN(C126)&lt;1,LEN(D126)&lt;1),"","B")</f>
        <v/>
      </c>
      <c r="D127" s="38"/>
      <c r="E127" s="44"/>
      <c r="F127" s="52"/>
      <c r="G127" s="57"/>
      <c r="H127" s="38"/>
      <c r="I127" s="38"/>
      <c r="J127" s="48"/>
      <c r="K127" s="49"/>
      <c r="M127" s="25">
        <f t="shared" si="102"/>
        <v>0</v>
      </c>
      <c r="N127" s="25" t="str">
        <f t="shared" si="121"/>
        <v/>
      </c>
      <c r="O127" s="26" t="str">
        <f t="shared" si="103"/>
        <v/>
      </c>
      <c r="P127" s="26">
        <f t="shared" si="104"/>
        <v>0</v>
      </c>
      <c r="Q127" s="20" t="s">
        <v>41</v>
      </c>
      <c r="R127" s="20">
        <f t="shared" si="96"/>
        <v>0</v>
      </c>
      <c r="S127" s="20">
        <f t="shared" si="97"/>
        <v>0</v>
      </c>
      <c r="T127" s="20">
        <f t="shared" si="105"/>
        <v>0</v>
      </c>
      <c r="U127" s="20">
        <f t="shared" si="106"/>
        <v>0</v>
      </c>
      <c r="V127" s="20" t="str">
        <f t="shared" si="98"/>
        <v/>
      </c>
      <c r="W127" s="20" t="str">
        <f t="shared" si="99"/>
        <v/>
      </c>
      <c r="X127" s="20" t="str">
        <f t="shared" si="107"/>
        <v/>
      </c>
      <c r="Y127">
        <f t="shared" si="108"/>
        <v>0</v>
      </c>
      <c r="Z127">
        <f t="shared" si="109"/>
        <v>0</v>
      </c>
      <c r="AA127" s="14" t="b">
        <f t="shared" si="100"/>
        <v>0</v>
      </c>
      <c r="AB127" s="28" t="str">
        <f t="shared" si="110"/>
        <v/>
      </c>
      <c r="AC127" s="20" t="str">
        <f t="shared" si="111"/>
        <v/>
      </c>
      <c r="AD127" s="20" t="str">
        <f t="shared" si="112"/>
        <v/>
      </c>
    </row>
    <row r="128" spans="1:30" ht="15" customHeight="1">
      <c r="A128" s="54"/>
      <c r="B128" s="60"/>
      <c r="C128" s="33" t="str">
        <f t="shared" ref="C128" si="191">IF(OR(LEN(C127)&lt;1,LEN(D128)&lt;1),"","C")</f>
        <v/>
      </c>
      <c r="D128" s="38"/>
      <c r="E128" s="42"/>
      <c r="F128" s="52"/>
      <c r="G128" s="57"/>
      <c r="H128" s="38"/>
      <c r="I128" s="38"/>
      <c r="J128" s="48"/>
      <c r="K128" s="49"/>
      <c r="M128" s="25">
        <f t="shared" si="102"/>
        <v>0</v>
      </c>
      <c r="N128" s="25" t="str">
        <f t="shared" si="121"/>
        <v/>
      </c>
      <c r="O128" s="26" t="str">
        <f t="shared" si="103"/>
        <v/>
      </c>
      <c r="P128" s="26">
        <f t="shared" si="104"/>
        <v>0</v>
      </c>
      <c r="Q128" s="20" t="s">
        <v>41</v>
      </c>
      <c r="R128" s="20">
        <f t="shared" si="96"/>
        <v>0</v>
      </c>
      <c r="S128" s="20">
        <f t="shared" si="97"/>
        <v>0</v>
      </c>
      <c r="T128" s="20">
        <f t="shared" si="105"/>
        <v>0</v>
      </c>
      <c r="U128" s="20">
        <f t="shared" si="106"/>
        <v>0</v>
      </c>
      <c r="V128" s="20" t="str">
        <f t="shared" si="98"/>
        <v/>
      </c>
      <c r="W128" s="20" t="str">
        <f t="shared" si="99"/>
        <v/>
      </c>
      <c r="X128" s="20" t="str">
        <f t="shared" si="107"/>
        <v/>
      </c>
      <c r="Y128">
        <f t="shared" si="108"/>
        <v>0</v>
      </c>
      <c r="Z128">
        <f t="shared" si="109"/>
        <v>0</v>
      </c>
      <c r="AA128" s="14" t="b">
        <f t="shared" si="100"/>
        <v>0</v>
      </c>
      <c r="AB128" s="28" t="str">
        <f t="shared" si="110"/>
        <v/>
      </c>
      <c r="AC128" s="20" t="str">
        <f t="shared" si="111"/>
        <v/>
      </c>
      <c r="AD128" s="20" t="str">
        <f t="shared" si="112"/>
        <v/>
      </c>
    </row>
    <row r="129" spans="1:30" ht="15" customHeight="1">
      <c r="A129" s="54"/>
      <c r="B129" s="60"/>
      <c r="C129" s="33" t="str">
        <f t="shared" ref="C129" si="192">IF(OR(LEN(C128)&lt;1,LEN(D129)&lt;1),"","D")</f>
        <v/>
      </c>
      <c r="D129" s="38"/>
      <c r="E129" s="44"/>
      <c r="F129" s="52"/>
      <c r="G129" s="57"/>
      <c r="H129" s="38"/>
      <c r="I129" s="38"/>
      <c r="J129" s="48"/>
      <c r="K129" s="49"/>
      <c r="M129" s="25">
        <f t="shared" si="102"/>
        <v>0</v>
      </c>
      <c r="N129" s="25" t="str">
        <f t="shared" si="121"/>
        <v/>
      </c>
      <c r="O129" s="26" t="str">
        <f t="shared" si="103"/>
        <v/>
      </c>
      <c r="P129" s="26">
        <f t="shared" si="104"/>
        <v>0</v>
      </c>
      <c r="Q129" s="20" t="s">
        <v>41</v>
      </c>
      <c r="R129" s="20">
        <f t="shared" si="96"/>
        <v>0</v>
      </c>
      <c r="S129" s="20">
        <f t="shared" si="97"/>
        <v>0</v>
      </c>
      <c r="T129" s="20">
        <f t="shared" si="105"/>
        <v>0</v>
      </c>
      <c r="U129" s="20">
        <f t="shared" si="106"/>
        <v>0</v>
      </c>
      <c r="V129" s="20" t="str">
        <f t="shared" si="98"/>
        <v/>
      </c>
      <c r="W129" s="20" t="str">
        <f t="shared" si="99"/>
        <v/>
      </c>
      <c r="X129" s="20" t="str">
        <f t="shared" si="107"/>
        <v/>
      </c>
      <c r="Y129">
        <f t="shared" si="108"/>
        <v>0</v>
      </c>
      <c r="Z129">
        <f t="shared" si="109"/>
        <v>0</v>
      </c>
      <c r="AA129" s="14" t="b">
        <f t="shared" si="100"/>
        <v>0</v>
      </c>
      <c r="AB129" s="28" t="str">
        <f t="shared" si="110"/>
        <v/>
      </c>
      <c r="AC129" s="20" t="str">
        <f t="shared" si="111"/>
        <v/>
      </c>
      <c r="AD129" s="20" t="str">
        <f t="shared" si="112"/>
        <v/>
      </c>
    </row>
    <row r="130" spans="1:30" ht="15.75" customHeight="1" thickBot="1">
      <c r="A130" s="55"/>
      <c r="B130" s="61"/>
      <c r="C130" s="36" t="str">
        <f t="shared" ref="C130" si="193">IF(OR(LEN(C129)&lt;1,LEN(D130)&lt;1),"","E")</f>
        <v/>
      </c>
      <c r="D130" s="39"/>
      <c r="E130" s="45"/>
      <c r="F130" s="53"/>
      <c r="G130" s="58"/>
      <c r="H130" s="39"/>
      <c r="I130" s="39"/>
      <c r="J130" s="39"/>
      <c r="K130" s="50"/>
      <c r="M130" s="25">
        <f t="shared" si="102"/>
        <v>0</v>
      </c>
      <c r="N130" s="25" t="str">
        <f t="shared" si="121"/>
        <v/>
      </c>
      <c r="O130" s="26" t="str">
        <f t="shared" si="103"/>
        <v/>
      </c>
      <c r="P130" s="26">
        <f t="shared" si="104"/>
        <v>0</v>
      </c>
      <c r="Q130" s="20" t="s">
        <v>41</v>
      </c>
      <c r="R130" s="20">
        <f t="shared" si="96"/>
        <v>0</v>
      </c>
      <c r="S130" s="20">
        <f t="shared" si="97"/>
        <v>0</v>
      </c>
      <c r="T130" s="20">
        <f t="shared" si="105"/>
        <v>0</v>
      </c>
      <c r="U130" s="20">
        <f t="shared" si="106"/>
        <v>0</v>
      </c>
      <c r="V130" s="20" t="str">
        <f t="shared" si="98"/>
        <v/>
      </c>
      <c r="W130" s="20" t="str">
        <f t="shared" si="99"/>
        <v/>
      </c>
      <c r="X130" s="20" t="str">
        <f t="shared" si="107"/>
        <v/>
      </c>
      <c r="Y130">
        <f t="shared" si="108"/>
        <v>0</v>
      </c>
      <c r="Z130">
        <f t="shared" si="109"/>
        <v>0</v>
      </c>
      <c r="AA130" s="14" t="b">
        <f t="shared" si="100"/>
        <v>0</v>
      </c>
      <c r="AB130" s="28" t="str">
        <f t="shared" si="110"/>
        <v/>
      </c>
      <c r="AC130" s="20" t="str">
        <f t="shared" si="111"/>
        <v/>
      </c>
      <c r="AD130" s="20" t="str">
        <f t="shared" si="112"/>
        <v/>
      </c>
    </row>
    <row r="131" spans="1:30" ht="15" customHeight="1">
      <c r="A131" s="54"/>
      <c r="B131" s="59" t="str">
        <f t="shared" ref="B131" si="194">IF(LEN(A131)&lt;1,"",IF(ISBLANK(B125),"",B125+1))</f>
        <v/>
      </c>
      <c r="C131" s="35" t="str">
        <f t="shared" ref="C131" si="195">IF(ISBLANK(A131),"",IF(A131="Uraian Panjang","Teks Uraian","Teks Soal"))</f>
        <v/>
      </c>
      <c r="D131" s="40"/>
      <c r="E131" s="41"/>
      <c r="F131" s="52" t="str">
        <f t="shared" ref="F131" si="196">IF(ISBLANK(A131),"",IF(A131="Pilihan Ganda","Centang salah satu jawaban disamping pada kolom KUNCI",IF(A131="Jawaban Jamak","Centang beberapa jawaban disamping pada kolom KUNCI",IF(A131="Uraian Panjang","Pastikan tidak ada jawaban yang tercentang pada kolom KUNCI",IF(A131="Esai Koreksi Otomatis","Kunci jawaban adalah teks opsi dan centang opsi tersebut pada kolom KUNCI","ISIKAN JODOHNYA PADA KOLOM KUNCI")))))</f>
        <v/>
      </c>
      <c r="G131" s="56" t="str">
        <f>IF(LEN(A131)&lt;1,"",IF(AA131=FALSE,"Ada kesalahan, mohon perhatikan kolom KETERANGAN",""))</f>
        <v/>
      </c>
      <c r="H131" s="40"/>
      <c r="I131" s="40"/>
      <c r="J131" s="46"/>
      <c r="K131" s="47"/>
      <c r="M131" s="25">
        <f t="shared" si="102"/>
        <v>0</v>
      </c>
      <c r="N131" s="25" t="str">
        <f t="shared" si="121"/>
        <v/>
      </c>
      <c r="O131" s="26" t="str">
        <f t="shared" si="103"/>
        <v/>
      </c>
      <c r="P131" s="26">
        <f t="shared" si="104"/>
        <v>0</v>
      </c>
      <c r="Q131" s="20" t="s">
        <v>41</v>
      </c>
      <c r="R131" s="20">
        <f t="shared" si="96"/>
        <v>0</v>
      </c>
      <c r="S131" s="20">
        <f t="shared" si="97"/>
        <v>0</v>
      </c>
      <c r="T131" s="20">
        <f t="shared" si="105"/>
        <v>0</v>
      </c>
      <c r="U131" s="20">
        <f t="shared" si="106"/>
        <v>0</v>
      </c>
      <c r="V131" s="20" t="str">
        <f t="shared" si="98"/>
        <v/>
      </c>
      <c r="W131" s="20" t="str">
        <f t="shared" si="99"/>
        <v/>
      </c>
      <c r="X131" s="20" t="str">
        <f t="shared" si="107"/>
        <v/>
      </c>
      <c r="Y131">
        <f t="shared" si="108"/>
        <v>0</v>
      </c>
      <c r="Z131">
        <f t="shared" si="109"/>
        <v>0</v>
      </c>
      <c r="AA131" s="14" t="b">
        <f t="shared" si="100"/>
        <v>0</v>
      </c>
      <c r="AB131" s="28" t="str">
        <f t="shared" si="110"/>
        <v/>
      </c>
      <c r="AC131" s="20" t="str">
        <f t="shared" si="111"/>
        <v/>
      </c>
      <c r="AD131" s="20" t="str">
        <f t="shared" si="112"/>
        <v/>
      </c>
    </row>
    <row r="132" spans="1:30" ht="15" customHeight="1">
      <c r="A132" s="54"/>
      <c r="B132" s="60"/>
      <c r="C132" s="33" t="str">
        <f t="shared" ref="C132" si="197">IF(C131="Teks Uraian","",IF(OR(LEN(C131)&lt;1,LEN(D132)&lt;1),"","A"))</f>
        <v/>
      </c>
      <c r="D132" s="38"/>
      <c r="E132" s="44"/>
      <c r="F132" s="52"/>
      <c r="G132" s="57"/>
      <c r="H132" s="38"/>
      <c r="I132" s="38"/>
      <c r="J132" s="48"/>
      <c r="K132" s="49"/>
      <c r="M132" s="25">
        <f t="shared" si="102"/>
        <v>0</v>
      </c>
      <c r="N132" s="25" t="str">
        <f t="shared" si="121"/>
        <v/>
      </c>
      <c r="O132" s="26" t="str">
        <f t="shared" si="103"/>
        <v/>
      </c>
      <c r="P132" s="26">
        <f t="shared" si="104"/>
        <v>0</v>
      </c>
      <c r="Q132" s="20" t="s">
        <v>41</v>
      </c>
      <c r="R132" s="20">
        <f t="shared" si="96"/>
        <v>0</v>
      </c>
      <c r="S132" s="20">
        <f t="shared" si="97"/>
        <v>0</v>
      </c>
      <c r="T132" s="20">
        <f t="shared" si="105"/>
        <v>0</v>
      </c>
      <c r="U132" s="20">
        <f t="shared" si="106"/>
        <v>0</v>
      </c>
      <c r="V132" s="20" t="str">
        <f t="shared" si="98"/>
        <v/>
      </c>
      <c r="W132" s="20" t="str">
        <f t="shared" si="99"/>
        <v/>
      </c>
      <c r="X132" s="20" t="str">
        <f t="shared" si="107"/>
        <v/>
      </c>
      <c r="Y132">
        <f t="shared" si="108"/>
        <v>0</v>
      </c>
      <c r="Z132">
        <f t="shared" si="109"/>
        <v>0</v>
      </c>
      <c r="AA132" s="14" t="b">
        <f t="shared" si="100"/>
        <v>0</v>
      </c>
      <c r="AB132" s="28" t="str">
        <f t="shared" si="110"/>
        <v/>
      </c>
      <c r="AC132" s="20" t="str">
        <f t="shared" si="111"/>
        <v/>
      </c>
      <c r="AD132" s="20" t="str">
        <f t="shared" si="112"/>
        <v/>
      </c>
    </row>
    <row r="133" spans="1:30" ht="15" customHeight="1">
      <c r="A133" s="54"/>
      <c r="B133" s="60"/>
      <c r="C133" s="33" t="str">
        <f t="shared" ref="C133" si="198">IF(OR(LEN(C132)&lt;1,LEN(D132)&lt;1),"","B")</f>
        <v/>
      </c>
      <c r="D133" s="38"/>
      <c r="E133" s="44"/>
      <c r="F133" s="52"/>
      <c r="G133" s="57"/>
      <c r="H133" s="38"/>
      <c r="I133" s="38"/>
      <c r="J133" s="48"/>
      <c r="K133" s="49"/>
      <c r="M133" s="25">
        <f t="shared" si="102"/>
        <v>0</v>
      </c>
      <c r="N133" s="25" t="str">
        <f t="shared" si="121"/>
        <v/>
      </c>
      <c r="O133" s="26" t="str">
        <f t="shared" si="103"/>
        <v/>
      </c>
      <c r="P133" s="26">
        <f t="shared" si="104"/>
        <v>0</v>
      </c>
      <c r="Q133" s="20" t="s">
        <v>41</v>
      </c>
      <c r="R133" s="20">
        <f t="shared" ref="R133:R196" si="199">C$1</f>
        <v>0</v>
      </c>
      <c r="S133" s="20">
        <f t="shared" ref="S133:S196" si="200">C$2</f>
        <v>0</v>
      </c>
      <c r="T133" s="20">
        <f t="shared" si="105"/>
        <v>0</v>
      </c>
      <c r="U133" s="20">
        <f t="shared" si="106"/>
        <v>0</v>
      </c>
      <c r="V133" s="20" t="str">
        <f t="shared" ref="V133:V196" si="201">IF(ISBLANK(H133),"",CONCATENATE("&lt;img src='",Q133,R133,"/",S133,"/",T133,"'&gt;&lt;br/&gt;"))</f>
        <v/>
      </c>
      <c r="W133" s="20" t="str">
        <f t="shared" ref="W133:W196" si="202">IF(ISBLANK(I133),"",CONCATENATE("&lt;br/&gt;&lt;img src='",Q133,R133,"/",S133,"/",U133,"'&gt;"))</f>
        <v/>
      </c>
      <c r="X133" s="20" t="str">
        <f t="shared" si="107"/>
        <v/>
      </c>
      <c r="Y133">
        <f t="shared" si="108"/>
        <v>0</v>
      </c>
      <c r="Z133">
        <f t="shared" si="109"/>
        <v>0</v>
      </c>
      <c r="AA133" s="14" t="b">
        <f t="shared" ref="AA133:AA196" si="203">IF(A133="Pilihan Ganda",
 AND(A133="Pilihan Ganda",Y133=1),
 IF(A133="Jawaban Jamak",
  AND(A133="Jawaban Jamak",Y133&gt;1),
  IF(A133="Menjodohkan",
   AND(A133="Menjodohkan",Y133=0),
   IF(A133="Uraian Panjang",
    AND(A133="Uraian Panjang",Y133=0),
    IF(A133="Esai Koreksi Otomatis",
     AND(A133="Esai Koreksi Otomatis",Y133&gt;0)
    )
   )
  )
 )
)</f>
        <v>0</v>
      </c>
      <c r="AB133" s="28" t="str">
        <f t="shared" si="110"/>
        <v/>
      </c>
      <c r="AC133" s="20" t="str">
        <f t="shared" si="111"/>
        <v/>
      </c>
      <c r="AD133" s="20" t="str">
        <f t="shared" si="112"/>
        <v/>
      </c>
    </row>
    <row r="134" spans="1:30" ht="15" customHeight="1">
      <c r="A134" s="54"/>
      <c r="B134" s="60"/>
      <c r="C134" s="33" t="str">
        <f t="shared" ref="C134" si="204">IF(OR(LEN(C133)&lt;1,LEN(D134)&lt;1),"","C")</f>
        <v/>
      </c>
      <c r="D134" s="38"/>
      <c r="E134" s="42"/>
      <c r="F134" s="52"/>
      <c r="G134" s="57"/>
      <c r="H134" s="38"/>
      <c r="I134" s="38"/>
      <c r="J134" s="48"/>
      <c r="K134" s="49"/>
      <c r="M134" s="25">
        <f t="shared" ref="M134:M197" si="205">IF(AND(ISBLANK(A134),ISBLANK(E134)),0,IF(ISBLANK(E134),IF(A134="Pilihan Ganda","S",IF(A134="Jawaban Jamak","M",IF(A134="Uraian Panjang","T",IF(A134="Esai Koreksi Otomatis","T","O")))),IF(E134="v",1,0)))</f>
        <v>0</v>
      </c>
      <c r="N134" s="25" t="str">
        <f t="shared" si="121"/>
        <v/>
      </c>
      <c r="O134" s="26" t="str">
        <f t="shared" ref="O134:O197" si="206">IF(ISBLANK(B134),"",B134)</f>
        <v/>
      </c>
      <c r="P134" s="26">
        <f t="shared" ref="P134:P197" si="207">IF(ISBLANK(D134),0,1)</f>
        <v>0</v>
      </c>
      <c r="Q134" s="20" t="s">
        <v>41</v>
      </c>
      <c r="R134" s="20">
        <f t="shared" si="199"/>
        <v>0</v>
      </c>
      <c r="S134" s="20">
        <f t="shared" si="200"/>
        <v>0</v>
      </c>
      <c r="T134" s="20">
        <f t="shared" ref="T134:T197" si="208">H134</f>
        <v>0</v>
      </c>
      <c r="U134" s="20">
        <f t="shared" ref="U134:U197" si="209">I134</f>
        <v>0</v>
      </c>
      <c r="V134" s="20" t="str">
        <f t="shared" si="201"/>
        <v/>
      </c>
      <c r="W134" s="20" t="str">
        <f t="shared" si="202"/>
        <v/>
      </c>
      <c r="X134" s="20" t="str">
        <f t="shared" ref="X134:X197" si="210">CONCATENATE(V134,SUBSTITUTE(D134,CHAR(34),"&amp;quot;"),AB134,W134,AC134,AD134)</f>
        <v/>
      </c>
      <c r="Y134">
        <f t="shared" ref="Y134:Y197" si="211">COUNTIF(E134:E139,"v")</f>
        <v>0</v>
      </c>
      <c r="Z134">
        <f t="shared" ref="Z134:Z197" si="212">M134</f>
        <v>0</v>
      </c>
      <c r="AA134" s="14" t="b">
        <f t="shared" si="203"/>
        <v>0</v>
      </c>
      <c r="AB134" s="28" t="str">
        <f t="shared" ref="AB134:AB197" si="213">IF(LEN(C134)&gt;1,IF(A134="Menjodohkan",CONCATENATE("&lt;div id='tmfmatchsub' style='background:#bbdefb; border:1px solid #2196f3; padding:5px 10px'&gt;
&lt;ol&gt;","&lt;li&gt;",E135,"&lt;/li&gt;","&lt;li&gt;",E136,"&lt;/li&gt;","&lt;li&gt;",E137,"&lt;/li&gt;","&lt;li&gt;",E138,"&lt;/li&gt;","&lt;li&gt;",E139,"&lt;/li&gt;&lt;/ol&gt;&lt;/div&gt;"),"&amp;nbsp;"),"")</f>
        <v/>
      </c>
      <c r="AC134" s="20" t="str">
        <f t="shared" ref="AC134:AC197" si="214">IF(ISBLANK(J134),"",CONCATENATE("&lt;br/&gt;&lt;audio controls&gt;&lt;source src='",Q134,R134,"/",S134,"/",J134,"'&gt;Your browser does not support the audio element.&lt;/audio&gt;"))</f>
        <v/>
      </c>
      <c r="AD134" s="20" t="str">
        <f t="shared" ref="AD134:AD197" si="215">IF(ISBLANK(K134),"",CONCATENATE("&lt;br/&gt;&lt;video controls&gt;&lt;source src='",Q134,R134,"/",S134,"/",K134,"'&gt;Your browser does not support the video element.&lt;/video&gt;"))</f>
        <v/>
      </c>
    </row>
    <row r="135" spans="1:30" ht="15" customHeight="1">
      <c r="A135" s="54"/>
      <c r="B135" s="60"/>
      <c r="C135" s="33" t="str">
        <f t="shared" ref="C135" si="216">IF(OR(LEN(C134)&lt;1,LEN(D135)&lt;1),"","D")</f>
        <v/>
      </c>
      <c r="D135" s="38"/>
      <c r="E135" s="44"/>
      <c r="F135" s="52"/>
      <c r="G135" s="57"/>
      <c r="H135" s="38"/>
      <c r="I135" s="38"/>
      <c r="J135" s="48"/>
      <c r="K135" s="49"/>
      <c r="M135" s="25">
        <f t="shared" si="205"/>
        <v>0</v>
      </c>
      <c r="N135" s="25" t="str">
        <f t="shared" si="121"/>
        <v/>
      </c>
      <c r="O135" s="26" t="str">
        <f t="shared" si="206"/>
        <v/>
      </c>
      <c r="P135" s="26">
        <f t="shared" si="207"/>
        <v>0</v>
      </c>
      <c r="Q135" s="20" t="s">
        <v>41</v>
      </c>
      <c r="R135" s="20">
        <f t="shared" si="199"/>
        <v>0</v>
      </c>
      <c r="S135" s="20">
        <f t="shared" si="200"/>
        <v>0</v>
      </c>
      <c r="T135" s="20">
        <f t="shared" si="208"/>
        <v>0</v>
      </c>
      <c r="U135" s="20">
        <f t="shared" si="209"/>
        <v>0</v>
      </c>
      <c r="V135" s="20" t="str">
        <f t="shared" si="201"/>
        <v/>
      </c>
      <c r="W135" s="20" t="str">
        <f t="shared" si="202"/>
        <v/>
      </c>
      <c r="X135" s="20" t="str">
        <f t="shared" si="210"/>
        <v/>
      </c>
      <c r="Y135">
        <f t="shared" si="211"/>
        <v>0</v>
      </c>
      <c r="Z135">
        <f t="shared" si="212"/>
        <v>0</v>
      </c>
      <c r="AA135" s="14" t="b">
        <f t="shared" si="203"/>
        <v>0</v>
      </c>
      <c r="AB135" s="28" t="str">
        <f t="shared" si="213"/>
        <v/>
      </c>
      <c r="AC135" s="20" t="str">
        <f t="shared" si="214"/>
        <v/>
      </c>
      <c r="AD135" s="20" t="str">
        <f t="shared" si="215"/>
        <v/>
      </c>
    </row>
    <row r="136" spans="1:30" ht="15.75" customHeight="1" thickBot="1">
      <c r="A136" s="55"/>
      <c r="B136" s="61"/>
      <c r="C136" s="36" t="str">
        <f t="shared" ref="C136" si="217">IF(OR(LEN(C135)&lt;1,LEN(D136)&lt;1),"","E")</f>
        <v/>
      </c>
      <c r="D136" s="39"/>
      <c r="E136" s="45"/>
      <c r="F136" s="53"/>
      <c r="G136" s="58"/>
      <c r="H136" s="39"/>
      <c r="I136" s="39"/>
      <c r="J136" s="39"/>
      <c r="K136" s="50"/>
      <c r="M136" s="25">
        <f t="shared" si="205"/>
        <v>0</v>
      </c>
      <c r="N136" s="25" t="str">
        <f t="shared" si="121"/>
        <v/>
      </c>
      <c r="O136" s="26" t="str">
        <f t="shared" si="206"/>
        <v/>
      </c>
      <c r="P136" s="26">
        <f t="shared" si="207"/>
        <v>0</v>
      </c>
      <c r="Q136" s="20" t="s">
        <v>41</v>
      </c>
      <c r="R136" s="20">
        <f t="shared" si="199"/>
        <v>0</v>
      </c>
      <c r="S136" s="20">
        <f t="shared" si="200"/>
        <v>0</v>
      </c>
      <c r="T136" s="20">
        <f t="shared" si="208"/>
        <v>0</v>
      </c>
      <c r="U136" s="20">
        <f t="shared" si="209"/>
        <v>0</v>
      </c>
      <c r="V136" s="20" t="str">
        <f t="shared" si="201"/>
        <v/>
      </c>
      <c r="W136" s="20" t="str">
        <f t="shared" si="202"/>
        <v/>
      </c>
      <c r="X136" s="20" t="str">
        <f t="shared" si="210"/>
        <v/>
      </c>
      <c r="Y136">
        <f t="shared" si="211"/>
        <v>0</v>
      </c>
      <c r="Z136">
        <f t="shared" si="212"/>
        <v>0</v>
      </c>
      <c r="AA136" s="14" t="b">
        <f t="shared" si="203"/>
        <v>0</v>
      </c>
      <c r="AB136" s="28" t="str">
        <f t="shared" si="213"/>
        <v/>
      </c>
      <c r="AC136" s="20" t="str">
        <f t="shared" si="214"/>
        <v/>
      </c>
      <c r="AD136" s="20" t="str">
        <f t="shared" si="215"/>
        <v/>
      </c>
    </row>
    <row r="137" spans="1:30" ht="15" customHeight="1">
      <c r="A137" s="54"/>
      <c r="B137" s="59" t="str">
        <f t="shared" ref="B137" si="218">IF(LEN(A137)&lt;1,"",IF(ISBLANK(B131),"",B131+1))</f>
        <v/>
      </c>
      <c r="C137" s="35" t="str">
        <f t="shared" ref="C137" si="219">IF(ISBLANK(A137),"",IF(A137="Uraian Panjang","Teks Uraian","Teks Soal"))</f>
        <v/>
      </c>
      <c r="D137" s="40"/>
      <c r="E137" s="41"/>
      <c r="F137" s="52" t="str">
        <f t="shared" ref="F137" si="220">IF(ISBLANK(A137),"",IF(A137="Pilihan Ganda","Centang salah satu jawaban disamping pada kolom KUNCI",IF(A137="Jawaban Jamak","Centang beberapa jawaban disamping pada kolom KUNCI",IF(A137="Uraian Panjang","Pastikan tidak ada jawaban yang tercentang pada kolom KUNCI",IF(A137="Esai Koreksi Otomatis","Kunci jawaban adalah teks opsi dan centang opsi tersebut pada kolom KUNCI","ISIKAN JODOHNYA PADA KOLOM KUNCI")))))</f>
        <v/>
      </c>
      <c r="G137" s="56" t="str">
        <f>IF(LEN(A137)&lt;1,"",IF(AA137=FALSE,"Ada kesalahan, mohon perhatikan kolom KETERANGAN",""))</f>
        <v/>
      </c>
      <c r="H137" s="40"/>
      <c r="I137" s="40"/>
      <c r="J137" s="46"/>
      <c r="K137" s="47"/>
      <c r="M137" s="25">
        <f t="shared" si="205"/>
        <v>0</v>
      </c>
      <c r="N137" s="25" t="str">
        <f t="shared" si="121"/>
        <v/>
      </c>
      <c r="O137" s="26" t="str">
        <f t="shared" si="206"/>
        <v/>
      </c>
      <c r="P137" s="26">
        <f t="shared" si="207"/>
        <v>0</v>
      </c>
      <c r="Q137" s="20" t="s">
        <v>41</v>
      </c>
      <c r="R137" s="20">
        <f t="shared" si="199"/>
        <v>0</v>
      </c>
      <c r="S137" s="20">
        <f t="shared" si="200"/>
        <v>0</v>
      </c>
      <c r="T137" s="20">
        <f t="shared" si="208"/>
        <v>0</v>
      </c>
      <c r="U137" s="20">
        <f t="shared" si="209"/>
        <v>0</v>
      </c>
      <c r="V137" s="20" t="str">
        <f t="shared" si="201"/>
        <v/>
      </c>
      <c r="W137" s="20" t="str">
        <f t="shared" si="202"/>
        <v/>
      </c>
      <c r="X137" s="20" t="str">
        <f t="shared" si="210"/>
        <v/>
      </c>
      <c r="Y137">
        <f t="shared" si="211"/>
        <v>0</v>
      </c>
      <c r="Z137">
        <f t="shared" si="212"/>
        <v>0</v>
      </c>
      <c r="AA137" s="14" t="b">
        <f t="shared" si="203"/>
        <v>0</v>
      </c>
      <c r="AB137" s="28" t="str">
        <f t="shared" si="213"/>
        <v/>
      </c>
      <c r="AC137" s="20" t="str">
        <f t="shared" si="214"/>
        <v/>
      </c>
      <c r="AD137" s="20" t="str">
        <f t="shared" si="215"/>
        <v/>
      </c>
    </row>
    <row r="138" spans="1:30" ht="15" customHeight="1">
      <c r="A138" s="54"/>
      <c r="B138" s="60"/>
      <c r="C138" s="33" t="str">
        <f t="shared" ref="C138" si="221">IF(C137="Teks Uraian","",IF(OR(LEN(C137)&lt;1,LEN(D138)&lt;1),"","A"))</f>
        <v/>
      </c>
      <c r="D138" s="38"/>
      <c r="E138" s="44"/>
      <c r="F138" s="52"/>
      <c r="G138" s="57"/>
      <c r="H138" s="38"/>
      <c r="I138" s="38"/>
      <c r="J138" s="48"/>
      <c r="K138" s="49"/>
      <c r="M138" s="25">
        <f t="shared" si="205"/>
        <v>0</v>
      </c>
      <c r="N138" s="25" t="str">
        <f t="shared" si="121"/>
        <v/>
      </c>
      <c r="O138" s="26" t="str">
        <f t="shared" si="206"/>
        <v/>
      </c>
      <c r="P138" s="26">
        <f t="shared" si="207"/>
        <v>0</v>
      </c>
      <c r="Q138" s="20" t="s">
        <v>41</v>
      </c>
      <c r="R138" s="20">
        <f t="shared" si="199"/>
        <v>0</v>
      </c>
      <c r="S138" s="20">
        <f t="shared" si="200"/>
        <v>0</v>
      </c>
      <c r="T138" s="20">
        <f t="shared" si="208"/>
        <v>0</v>
      </c>
      <c r="U138" s="20">
        <f t="shared" si="209"/>
        <v>0</v>
      </c>
      <c r="V138" s="20" t="str">
        <f t="shared" si="201"/>
        <v/>
      </c>
      <c r="W138" s="20" t="str">
        <f t="shared" si="202"/>
        <v/>
      </c>
      <c r="X138" s="20" t="str">
        <f t="shared" si="210"/>
        <v/>
      </c>
      <c r="Y138">
        <f t="shared" si="211"/>
        <v>0</v>
      </c>
      <c r="Z138">
        <f t="shared" si="212"/>
        <v>0</v>
      </c>
      <c r="AA138" s="14" t="b">
        <f t="shared" si="203"/>
        <v>0</v>
      </c>
      <c r="AB138" s="28" t="str">
        <f t="shared" si="213"/>
        <v/>
      </c>
      <c r="AC138" s="20" t="str">
        <f t="shared" si="214"/>
        <v/>
      </c>
      <c r="AD138" s="20" t="str">
        <f t="shared" si="215"/>
        <v/>
      </c>
    </row>
    <row r="139" spans="1:30" ht="15" customHeight="1">
      <c r="A139" s="54"/>
      <c r="B139" s="60"/>
      <c r="C139" s="33" t="str">
        <f t="shared" ref="C139" si="222">IF(OR(LEN(C138)&lt;1,LEN(D138)&lt;1),"","B")</f>
        <v/>
      </c>
      <c r="D139" s="38"/>
      <c r="E139" s="44"/>
      <c r="F139" s="52"/>
      <c r="G139" s="57"/>
      <c r="H139" s="38"/>
      <c r="I139" s="38"/>
      <c r="J139" s="48"/>
      <c r="K139" s="49"/>
      <c r="M139" s="25">
        <f t="shared" si="205"/>
        <v>0</v>
      </c>
      <c r="N139" s="25" t="str">
        <f t="shared" si="121"/>
        <v/>
      </c>
      <c r="O139" s="26" t="str">
        <f t="shared" si="206"/>
        <v/>
      </c>
      <c r="P139" s="26">
        <f t="shared" si="207"/>
        <v>0</v>
      </c>
      <c r="Q139" s="20" t="s">
        <v>41</v>
      </c>
      <c r="R139" s="20">
        <f t="shared" si="199"/>
        <v>0</v>
      </c>
      <c r="S139" s="20">
        <f t="shared" si="200"/>
        <v>0</v>
      </c>
      <c r="T139" s="20">
        <f t="shared" si="208"/>
        <v>0</v>
      </c>
      <c r="U139" s="20">
        <f t="shared" si="209"/>
        <v>0</v>
      </c>
      <c r="V139" s="20" t="str">
        <f t="shared" si="201"/>
        <v/>
      </c>
      <c r="W139" s="20" t="str">
        <f t="shared" si="202"/>
        <v/>
      </c>
      <c r="X139" s="20" t="str">
        <f t="shared" si="210"/>
        <v/>
      </c>
      <c r="Y139">
        <f t="shared" si="211"/>
        <v>0</v>
      </c>
      <c r="Z139">
        <f t="shared" si="212"/>
        <v>0</v>
      </c>
      <c r="AA139" s="14" t="b">
        <f t="shared" si="203"/>
        <v>0</v>
      </c>
      <c r="AB139" s="28" t="str">
        <f t="shared" si="213"/>
        <v/>
      </c>
      <c r="AC139" s="20" t="str">
        <f t="shared" si="214"/>
        <v/>
      </c>
      <c r="AD139" s="20" t="str">
        <f t="shared" si="215"/>
        <v/>
      </c>
    </row>
    <row r="140" spans="1:30" ht="15" customHeight="1">
      <c r="A140" s="54"/>
      <c r="B140" s="60"/>
      <c r="C140" s="33" t="str">
        <f t="shared" ref="C140" si="223">IF(OR(LEN(C139)&lt;1,LEN(D140)&lt;1),"","C")</f>
        <v/>
      </c>
      <c r="D140" s="38"/>
      <c r="E140" s="42"/>
      <c r="F140" s="52"/>
      <c r="G140" s="57"/>
      <c r="H140" s="38"/>
      <c r="I140" s="38"/>
      <c r="J140" s="48"/>
      <c r="K140" s="49"/>
      <c r="M140" s="25">
        <f t="shared" si="205"/>
        <v>0</v>
      </c>
      <c r="N140" s="25" t="str">
        <f t="shared" ref="N140:N203" si="224">IF(LEN(C140)&gt;1,1,IF(C140="A",1,IF(C140="B",2,IF(C140="C",3,IF(C140="D",4,IF(C140="E",5,""))))))</f>
        <v/>
      </c>
      <c r="O140" s="26" t="str">
        <f t="shared" si="206"/>
        <v/>
      </c>
      <c r="P140" s="26">
        <f t="shared" si="207"/>
        <v>0</v>
      </c>
      <c r="Q140" s="20" t="s">
        <v>41</v>
      </c>
      <c r="R140" s="20">
        <f t="shared" si="199"/>
        <v>0</v>
      </c>
      <c r="S140" s="20">
        <f t="shared" si="200"/>
        <v>0</v>
      </c>
      <c r="T140" s="20">
        <f t="shared" si="208"/>
        <v>0</v>
      </c>
      <c r="U140" s="20">
        <f t="shared" si="209"/>
        <v>0</v>
      </c>
      <c r="V140" s="20" t="str">
        <f t="shared" si="201"/>
        <v/>
      </c>
      <c r="W140" s="20" t="str">
        <f t="shared" si="202"/>
        <v/>
      </c>
      <c r="X140" s="20" t="str">
        <f t="shared" si="210"/>
        <v/>
      </c>
      <c r="Y140">
        <f t="shared" si="211"/>
        <v>0</v>
      </c>
      <c r="Z140">
        <f t="shared" si="212"/>
        <v>0</v>
      </c>
      <c r="AA140" s="14" t="b">
        <f t="shared" si="203"/>
        <v>0</v>
      </c>
      <c r="AB140" s="28" t="str">
        <f t="shared" si="213"/>
        <v/>
      </c>
      <c r="AC140" s="20" t="str">
        <f t="shared" si="214"/>
        <v/>
      </c>
      <c r="AD140" s="20" t="str">
        <f t="shared" si="215"/>
        <v/>
      </c>
    </row>
    <row r="141" spans="1:30" ht="15" customHeight="1">
      <c r="A141" s="54"/>
      <c r="B141" s="60"/>
      <c r="C141" s="33" t="str">
        <f t="shared" ref="C141" si="225">IF(OR(LEN(C140)&lt;1,LEN(D141)&lt;1),"","D")</f>
        <v/>
      </c>
      <c r="D141" s="38"/>
      <c r="E141" s="44"/>
      <c r="F141" s="52"/>
      <c r="G141" s="57"/>
      <c r="H141" s="38"/>
      <c r="I141" s="38"/>
      <c r="J141" s="48"/>
      <c r="K141" s="49"/>
      <c r="M141" s="25">
        <f t="shared" si="205"/>
        <v>0</v>
      </c>
      <c r="N141" s="25" t="str">
        <f t="shared" si="224"/>
        <v/>
      </c>
      <c r="O141" s="26" t="str">
        <f t="shared" si="206"/>
        <v/>
      </c>
      <c r="P141" s="26">
        <f t="shared" si="207"/>
        <v>0</v>
      </c>
      <c r="Q141" s="20" t="s">
        <v>41</v>
      </c>
      <c r="R141" s="20">
        <f t="shared" si="199"/>
        <v>0</v>
      </c>
      <c r="S141" s="20">
        <f t="shared" si="200"/>
        <v>0</v>
      </c>
      <c r="T141" s="20">
        <f t="shared" si="208"/>
        <v>0</v>
      </c>
      <c r="U141" s="20">
        <f t="shared" si="209"/>
        <v>0</v>
      </c>
      <c r="V141" s="20" t="str">
        <f t="shared" si="201"/>
        <v/>
      </c>
      <c r="W141" s="20" t="str">
        <f t="shared" si="202"/>
        <v/>
      </c>
      <c r="X141" s="20" t="str">
        <f t="shared" si="210"/>
        <v/>
      </c>
      <c r="Y141">
        <f t="shared" si="211"/>
        <v>0</v>
      </c>
      <c r="Z141">
        <f t="shared" si="212"/>
        <v>0</v>
      </c>
      <c r="AA141" s="14" t="b">
        <f t="shared" si="203"/>
        <v>0</v>
      </c>
      <c r="AB141" s="28" t="str">
        <f t="shared" si="213"/>
        <v/>
      </c>
      <c r="AC141" s="20" t="str">
        <f t="shared" si="214"/>
        <v/>
      </c>
      <c r="AD141" s="20" t="str">
        <f t="shared" si="215"/>
        <v/>
      </c>
    </row>
    <row r="142" spans="1:30" ht="15.75" customHeight="1" thickBot="1">
      <c r="A142" s="55"/>
      <c r="B142" s="61"/>
      <c r="C142" s="36" t="str">
        <f t="shared" ref="C142" si="226">IF(OR(LEN(C141)&lt;1,LEN(D142)&lt;1),"","E")</f>
        <v/>
      </c>
      <c r="D142" s="39"/>
      <c r="E142" s="45"/>
      <c r="F142" s="53"/>
      <c r="G142" s="58"/>
      <c r="H142" s="39"/>
      <c r="I142" s="39"/>
      <c r="J142" s="39"/>
      <c r="K142" s="50"/>
      <c r="M142" s="25">
        <f t="shared" si="205"/>
        <v>0</v>
      </c>
      <c r="N142" s="25" t="str">
        <f t="shared" si="224"/>
        <v/>
      </c>
      <c r="O142" s="26" t="str">
        <f t="shared" si="206"/>
        <v/>
      </c>
      <c r="P142" s="26">
        <f t="shared" si="207"/>
        <v>0</v>
      </c>
      <c r="Q142" s="20" t="s">
        <v>41</v>
      </c>
      <c r="R142" s="20">
        <f t="shared" si="199"/>
        <v>0</v>
      </c>
      <c r="S142" s="20">
        <f t="shared" si="200"/>
        <v>0</v>
      </c>
      <c r="T142" s="20">
        <f t="shared" si="208"/>
        <v>0</v>
      </c>
      <c r="U142" s="20">
        <f t="shared" si="209"/>
        <v>0</v>
      </c>
      <c r="V142" s="20" t="str">
        <f t="shared" si="201"/>
        <v/>
      </c>
      <c r="W142" s="20" t="str">
        <f t="shared" si="202"/>
        <v/>
      </c>
      <c r="X142" s="20" t="str">
        <f t="shared" si="210"/>
        <v/>
      </c>
      <c r="Y142">
        <f t="shared" si="211"/>
        <v>0</v>
      </c>
      <c r="Z142">
        <f t="shared" si="212"/>
        <v>0</v>
      </c>
      <c r="AA142" s="14" t="b">
        <f t="shared" si="203"/>
        <v>0</v>
      </c>
      <c r="AB142" s="28" t="str">
        <f t="shared" si="213"/>
        <v/>
      </c>
      <c r="AC142" s="20" t="str">
        <f t="shared" si="214"/>
        <v/>
      </c>
      <c r="AD142" s="20" t="str">
        <f t="shared" si="215"/>
        <v/>
      </c>
    </row>
    <row r="143" spans="1:30" ht="15" customHeight="1">
      <c r="A143" s="54"/>
      <c r="B143" s="59" t="str">
        <f t="shared" ref="B143" si="227">IF(LEN(A143)&lt;1,"",IF(ISBLANK(B137),"",B137+1))</f>
        <v/>
      </c>
      <c r="C143" s="35" t="str">
        <f t="shared" ref="C143" si="228">IF(ISBLANK(A143),"",IF(A143="Uraian Panjang","Teks Uraian","Teks Soal"))</f>
        <v/>
      </c>
      <c r="D143" s="40"/>
      <c r="E143" s="41"/>
      <c r="F143" s="52" t="str">
        <f t="shared" ref="F143" si="229">IF(ISBLANK(A143),"",IF(A143="Pilihan Ganda","Centang salah satu jawaban disamping pada kolom KUNCI",IF(A143="Jawaban Jamak","Centang beberapa jawaban disamping pada kolom KUNCI",IF(A143="Uraian Panjang","Pastikan tidak ada jawaban yang tercentang pada kolom KUNCI",IF(A143="Esai Koreksi Otomatis","Kunci jawaban adalah teks opsi dan centang opsi tersebut pada kolom KUNCI","ISIKAN JODOHNYA PADA KOLOM KUNCI")))))</f>
        <v/>
      </c>
      <c r="G143" s="56" t="str">
        <f>IF(LEN(A143)&lt;1,"",IF(AA143=FALSE,"Ada kesalahan, mohon perhatikan kolom KETERANGAN",""))</f>
        <v/>
      </c>
      <c r="H143" s="40"/>
      <c r="I143" s="40"/>
      <c r="J143" s="46"/>
      <c r="K143" s="47"/>
      <c r="M143" s="25">
        <f t="shared" si="205"/>
        <v>0</v>
      </c>
      <c r="N143" s="25" t="str">
        <f t="shared" si="224"/>
        <v/>
      </c>
      <c r="O143" s="26" t="str">
        <f t="shared" si="206"/>
        <v/>
      </c>
      <c r="P143" s="26">
        <f t="shared" si="207"/>
        <v>0</v>
      </c>
      <c r="Q143" s="20" t="s">
        <v>41</v>
      </c>
      <c r="R143" s="20">
        <f t="shared" si="199"/>
        <v>0</v>
      </c>
      <c r="S143" s="20">
        <f t="shared" si="200"/>
        <v>0</v>
      </c>
      <c r="T143" s="20">
        <f t="shared" si="208"/>
        <v>0</v>
      </c>
      <c r="U143" s="20">
        <f t="shared" si="209"/>
        <v>0</v>
      </c>
      <c r="V143" s="20" t="str">
        <f t="shared" si="201"/>
        <v/>
      </c>
      <c r="W143" s="20" t="str">
        <f t="shared" si="202"/>
        <v/>
      </c>
      <c r="X143" s="20" t="str">
        <f t="shared" si="210"/>
        <v/>
      </c>
      <c r="Y143">
        <f t="shared" si="211"/>
        <v>0</v>
      </c>
      <c r="Z143">
        <f t="shared" si="212"/>
        <v>0</v>
      </c>
      <c r="AA143" s="14" t="b">
        <f t="shared" si="203"/>
        <v>0</v>
      </c>
      <c r="AB143" s="28" t="str">
        <f t="shared" si="213"/>
        <v/>
      </c>
      <c r="AC143" s="20" t="str">
        <f t="shared" si="214"/>
        <v/>
      </c>
      <c r="AD143" s="20" t="str">
        <f t="shared" si="215"/>
        <v/>
      </c>
    </row>
    <row r="144" spans="1:30" ht="15" customHeight="1">
      <c r="A144" s="54"/>
      <c r="B144" s="60"/>
      <c r="C144" s="33" t="str">
        <f t="shared" ref="C144" si="230">IF(C143="Teks Uraian","",IF(OR(LEN(C143)&lt;1,LEN(D144)&lt;1),"","A"))</f>
        <v/>
      </c>
      <c r="D144" s="38"/>
      <c r="E144" s="44"/>
      <c r="F144" s="52"/>
      <c r="G144" s="57"/>
      <c r="H144" s="38"/>
      <c r="I144" s="38"/>
      <c r="J144" s="48"/>
      <c r="K144" s="49"/>
      <c r="M144" s="25">
        <f t="shared" si="205"/>
        <v>0</v>
      </c>
      <c r="N144" s="25" t="str">
        <f t="shared" si="224"/>
        <v/>
      </c>
      <c r="O144" s="26" t="str">
        <f t="shared" si="206"/>
        <v/>
      </c>
      <c r="P144" s="26">
        <f t="shared" si="207"/>
        <v>0</v>
      </c>
      <c r="Q144" s="20" t="s">
        <v>41</v>
      </c>
      <c r="R144" s="20">
        <f t="shared" si="199"/>
        <v>0</v>
      </c>
      <c r="S144" s="20">
        <f t="shared" si="200"/>
        <v>0</v>
      </c>
      <c r="T144" s="20">
        <f t="shared" si="208"/>
        <v>0</v>
      </c>
      <c r="U144" s="20">
        <f t="shared" si="209"/>
        <v>0</v>
      </c>
      <c r="V144" s="20" t="str">
        <f t="shared" si="201"/>
        <v/>
      </c>
      <c r="W144" s="20" t="str">
        <f t="shared" si="202"/>
        <v/>
      </c>
      <c r="X144" s="20" t="str">
        <f t="shared" si="210"/>
        <v/>
      </c>
      <c r="Y144">
        <f t="shared" si="211"/>
        <v>0</v>
      </c>
      <c r="Z144">
        <f t="shared" si="212"/>
        <v>0</v>
      </c>
      <c r="AA144" s="14" t="b">
        <f t="shared" si="203"/>
        <v>0</v>
      </c>
      <c r="AB144" s="28" t="str">
        <f t="shared" si="213"/>
        <v/>
      </c>
      <c r="AC144" s="20" t="str">
        <f t="shared" si="214"/>
        <v/>
      </c>
      <c r="AD144" s="20" t="str">
        <f t="shared" si="215"/>
        <v/>
      </c>
    </row>
    <row r="145" spans="1:30" ht="15" customHeight="1">
      <c r="A145" s="54"/>
      <c r="B145" s="60"/>
      <c r="C145" s="33" t="str">
        <f t="shared" ref="C145" si="231">IF(OR(LEN(C144)&lt;1,LEN(D144)&lt;1),"","B")</f>
        <v/>
      </c>
      <c r="D145" s="38"/>
      <c r="E145" s="44"/>
      <c r="F145" s="52"/>
      <c r="G145" s="57"/>
      <c r="H145" s="38"/>
      <c r="I145" s="38"/>
      <c r="J145" s="48"/>
      <c r="K145" s="49"/>
      <c r="M145" s="25">
        <f t="shared" si="205"/>
        <v>0</v>
      </c>
      <c r="N145" s="25" t="str">
        <f t="shared" si="224"/>
        <v/>
      </c>
      <c r="O145" s="26" t="str">
        <f t="shared" si="206"/>
        <v/>
      </c>
      <c r="P145" s="26">
        <f t="shared" si="207"/>
        <v>0</v>
      </c>
      <c r="Q145" s="20" t="s">
        <v>41</v>
      </c>
      <c r="R145" s="20">
        <f t="shared" si="199"/>
        <v>0</v>
      </c>
      <c r="S145" s="20">
        <f t="shared" si="200"/>
        <v>0</v>
      </c>
      <c r="T145" s="20">
        <f t="shared" si="208"/>
        <v>0</v>
      </c>
      <c r="U145" s="20">
        <f t="shared" si="209"/>
        <v>0</v>
      </c>
      <c r="V145" s="20" t="str">
        <f t="shared" si="201"/>
        <v/>
      </c>
      <c r="W145" s="20" t="str">
        <f t="shared" si="202"/>
        <v/>
      </c>
      <c r="X145" s="20" t="str">
        <f t="shared" si="210"/>
        <v/>
      </c>
      <c r="Y145">
        <f t="shared" si="211"/>
        <v>0</v>
      </c>
      <c r="Z145">
        <f t="shared" si="212"/>
        <v>0</v>
      </c>
      <c r="AA145" s="14" t="b">
        <f t="shared" si="203"/>
        <v>0</v>
      </c>
      <c r="AB145" s="28" t="str">
        <f t="shared" si="213"/>
        <v/>
      </c>
      <c r="AC145" s="20" t="str">
        <f t="shared" si="214"/>
        <v/>
      </c>
      <c r="AD145" s="20" t="str">
        <f t="shared" si="215"/>
        <v/>
      </c>
    </row>
    <row r="146" spans="1:30" ht="15" customHeight="1">
      <c r="A146" s="54"/>
      <c r="B146" s="60"/>
      <c r="C146" s="33" t="str">
        <f t="shared" ref="C146" si="232">IF(OR(LEN(C145)&lt;1,LEN(D146)&lt;1),"","C")</f>
        <v/>
      </c>
      <c r="D146" s="38"/>
      <c r="E146" s="42"/>
      <c r="F146" s="52"/>
      <c r="G146" s="57"/>
      <c r="H146" s="38"/>
      <c r="I146" s="38"/>
      <c r="J146" s="48"/>
      <c r="K146" s="49"/>
      <c r="M146" s="25">
        <f t="shared" si="205"/>
        <v>0</v>
      </c>
      <c r="N146" s="25" t="str">
        <f t="shared" si="224"/>
        <v/>
      </c>
      <c r="O146" s="26" t="str">
        <f t="shared" si="206"/>
        <v/>
      </c>
      <c r="P146" s="26">
        <f t="shared" si="207"/>
        <v>0</v>
      </c>
      <c r="Q146" s="20" t="s">
        <v>41</v>
      </c>
      <c r="R146" s="20">
        <f t="shared" si="199"/>
        <v>0</v>
      </c>
      <c r="S146" s="20">
        <f t="shared" si="200"/>
        <v>0</v>
      </c>
      <c r="T146" s="20">
        <f t="shared" si="208"/>
        <v>0</v>
      </c>
      <c r="U146" s="20">
        <f t="shared" si="209"/>
        <v>0</v>
      </c>
      <c r="V146" s="20" t="str">
        <f t="shared" si="201"/>
        <v/>
      </c>
      <c r="W146" s="20" t="str">
        <f t="shared" si="202"/>
        <v/>
      </c>
      <c r="X146" s="20" t="str">
        <f t="shared" si="210"/>
        <v/>
      </c>
      <c r="Y146">
        <f t="shared" si="211"/>
        <v>0</v>
      </c>
      <c r="Z146">
        <f t="shared" si="212"/>
        <v>0</v>
      </c>
      <c r="AA146" s="14" t="b">
        <f t="shared" si="203"/>
        <v>0</v>
      </c>
      <c r="AB146" s="28" t="str">
        <f t="shared" si="213"/>
        <v/>
      </c>
      <c r="AC146" s="20" t="str">
        <f t="shared" si="214"/>
        <v/>
      </c>
      <c r="AD146" s="20" t="str">
        <f t="shared" si="215"/>
        <v/>
      </c>
    </row>
    <row r="147" spans="1:30" ht="15" customHeight="1">
      <c r="A147" s="54"/>
      <c r="B147" s="60"/>
      <c r="C147" s="33" t="str">
        <f t="shared" ref="C147" si="233">IF(OR(LEN(C146)&lt;1,LEN(D147)&lt;1),"","D")</f>
        <v/>
      </c>
      <c r="D147" s="38"/>
      <c r="E147" s="44"/>
      <c r="F147" s="52"/>
      <c r="G147" s="57"/>
      <c r="H147" s="38"/>
      <c r="I147" s="38"/>
      <c r="J147" s="48"/>
      <c r="K147" s="49"/>
      <c r="M147" s="25">
        <f t="shared" si="205"/>
        <v>0</v>
      </c>
      <c r="N147" s="25" t="str">
        <f t="shared" si="224"/>
        <v/>
      </c>
      <c r="O147" s="26" t="str">
        <f t="shared" si="206"/>
        <v/>
      </c>
      <c r="P147" s="26">
        <f t="shared" si="207"/>
        <v>0</v>
      </c>
      <c r="Q147" s="20" t="s">
        <v>41</v>
      </c>
      <c r="R147" s="20">
        <f t="shared" si="199"/>
        <v>0</v>
      </c>
      <c r="S147" s="20">
        <f t="shared" si="200"/>
        <v>0</v>
      </c>
      <c r="T147" s="20">
        <f t="shared" si="208"/>
        <v>0</v>
      </c>
      <c r="U147" s="20">
        <f t="shared" si="209"/>
        <v>0</v>
      </c>
      <c r="V147" s="20" t="str">
        <f t="shared" si="201"/>
        <v/>
      </c>
      <c r="W147" s="20" t="str">
        <f t="shared" si="202"/>
        <v/>
      </c>
      <c r="X147" s="20" t="str">
        <f t="shared" si="210"/>
        <v/>
      </c>
      <c r="Y147">
        <f t="shared" si="211"/>
        <v>0</v>
      </c>
      <c r="Z147">
        <f t="shared" si="212"/>
        <v>0</v>
      </c>
      <c r="AA147" s="14" t="b">
        <f t="shared" si="203"/>
        <v>0</v>
      </c>
      <c r="AB147" s="28" t="str">
        <f t="shared" si="213"/>
        <v/>
      </c>
      <c r="AC147" s="20" t="str">
        <f t="shared" si="214"/>
        <v/>
      </c>
      <c r="AD147" s="20" t="str">
        <f t="shared" si="215"/>
        <v/>
      </c>
    </row>
    <row r="148" spans="1:30" ht="15.75" customHeight="1" thickBot="1">
      <c r="A148" s="55"/>
      <c r="B148" s="61"/>
      <c r="C148" s="36" t="str">
        <f t="shared" ref="C148" si="234">IF(OR(LEN(C147)&lt;1,LEN(D148)&lt;1),"","E")</f>
        <v/>
      </c>
      <c r="D148" s="39"/>
      <c r="E148" s="45"/>
      <c r="F148" s="53"/>
      <c r="G148" s="58"/>
      <c r="H148" s="39"/>
      <c r="I148" s="39"/>
      <c r="J148" s="39"/>
      <c r="K148" s="50"/>
      <c r="M148" s="25">
        <f t="shared" si="205"/>
        <v>0</v>
      </c>
      <c r="N148" s="25" t="str">
        <f t="shared" si="224"/>
        <v/>
      </c>
      <c r="O148" s="26" t="str">
        <f t="shared" si="206"/>
        <v/>
      </c>
      <c r="P148" s="26">
        <f t="shared" si="207"/>
        <v>0</v>
      </c>
      <c r="Q148" s="20" t="s">
        <v>41</v>
      </c>
      <c r="R148" s="20">
        <f t="shared" si="199"/>
        <v>0</v>
      </c>
      <c r="S148" s="20">
        <f t="shared" si="200"/>
        <v>0</v>
      </c>
      <c r="T148" s="20">
        <f t="shared" si="208"/>
        <v>0</v>
      </c>
      <c r="U148" s="20">
        <f t="shared" si="209"/>
        <v>0</v>
      </c>
      <c r="V148" s="20" t="str">
        <f t="shared" si="201"/>
        <v/>
      </c>
      <c r="W148" s="20" t="str">
        <f t="shared" si="202"/>
        <v/>
      </c>
      <c r="X148" s="20" t="str">
        <f t="shared" si="210"/>
        <v/>
      </c>
      <c r="Y148">
        <f t="shared" si="211"/>
        <v>0</v>
      </c>
      <c r="Z148">
        <f t="shared" si="212"/>
        <v>0</v>
      </c>
      <c r="AA148" s="14" t="b">
        <f t="shared" si="203"/>
        <v>0</v>
      </c>
      <c r="AB148" s="28" t="str">
        <f t="shared" si="213"/>
        <v/>
      </c>
      <c r="AC148" s="20" t="str">
        <f t="shared" si="214"/>
        <v/>
      </c>
      <c r="AD148" s="20" t="str">
        <f t="shared" si="215"/>
        <v/>
      </c>
    </row>
    <row r="149" spans="1:30" ht="15" customHeight="1">
      <c r="A149" s="54"/>
      <c r="B149" s="59" t="str">
        <f t="shared" ref="B149" si="235">IF(LEN(A149)&lt;1,"",IF(ISBLANK(B143),"",B143+1))</f>
        <v/>
      </c>
      <c r="C149" s="35" t="str">
        <f t="shared" ref="C149" si="236">IF(ISBLANK(A149),"",IF(A149="Uraian Panjang","Teks Uraian","Teks Soal"))</f>
        <v/>
      </c>
      <c r="D149" s="40"/>
      <c r="E149" s="41"/>
      <c r="F149" s="52" t="str">
        <f t="shared" ref="F149" si="237">IF(ISBLANK(A149),"",IF(A149="Pilihan Ganda","Centang salah satu jawaban disamping pada kolom KUNCI",IF(A149="Jawaban Jamak","Centang beberapa jawaban disamping pada kolom KUNCI",IF(A149="Uraian Panjang","Pastikan tidak ada jawaban yang tercentang pada kolom KUNCI",IF(A149="Esai Koreksi Otomatis","Kunci jawaban adalah teks opsi dan centang opsi tersebut pada kolom KUNCI","ISIKAN JODOHNYA PADA KOLOM KUNCI")))))</f>
        <v/>
      </c>
      <c r="G149" s="56" t="str">
        <f>IF(LEN(A149)&lt;1,"",IF(AA149=FALSE,"Ada kesalahan, mohon perhatikan kolom KETERANGAN",""))</f>
        <v/>
      </c>
      <c r="H149" s="40"/>
      <c r="I149" s="40"/>
      <c r="J149" s="46"/>
      <c r="K149" s="47"/>
      <c r="M149" s="25">
        <f t="shared" si="205"/>
        <v>0</v>
      </c>
      <c r="N149" s="25" t="str">
        <f t="shared" si="224"/>
        <v/>
      </c>
      <c r="O149" s="26" t="str">
        <f t="shared" si="206"/>
        <v/>
      </c>
      <c r="P149" s="26">
        <f t="shared" si="207"/>
        <v>0</v>
      </c>
      <c r="Q149" s="20" t="s">
        <v>41</v>
      </c>
      <c r="R149" s="20">
        <f t="shared" si="199"/>
        <v>0</v>
      </c>
      <c r="S149" s="20">
        <f t="shared" si="200"/>
        <v>0</v>
      </c>
      <c r="T149" s="20">
        <f t="shared" si="208"/>
        <v>0</v>
      </c>
      <c r="U149" s="20">
        <f t="shared" si="209"/>
        <v>0</v>
      </c>
      <c r="V149" s="20" t="str">
        <f t="shared" si="201"/>
        <v/>
      </c>
      <c r="W149" s="20" t="str">
        <f t="shared" si="202"/>
        <v/>
      </c>
      <c r="X149" s="20" t="str">
        <f t="shared" si="210"/>
        <v/>
      </c>
      <c r="Y149">
        <f t="shared" si="211"/>
        <v>0</v>
      </c>
      <c r="Z149">
        <f t="shared" si="212"/>
        <v>0</v>
      </c>
      <c r="AA149" s="14" t="b">
        <f t="shared" si="203"/>
        <v>0</v>
      </c>
      <c r="AB149" s="28" t="str">
        <f t="shared" si="213"/>
        <v/>
      </c>
      <c r="AC149" s="20" t="str">
        <f t="shared" si="214"/>
        <v/>
      </c>
      <c r="AD149" s="20" t="str">
        <f t="shared" si="215"/>
        <v/>
      </c>
    </row>
    <row r="150" spans="1:30" ht="15" customHeight="1">
      <c r="A150" s="54"/>
      <c r="B150" s="60"/>
      <c r="C150" s="33" t="str">
        <f t="shared" ref="C150" si="238">IF(C149="Teks Uraian","",IF(OR(LEN(C149)&lt;1,LEN(D150)&lt;1),"","A"))</f>
        <v/>
      </c>
      <c r="D150" s="38"/>
      <c r="E150" s="44"/>
      <c r="F150" s="52"/>
      <c r="G150" s="57"/>
      <c r="H150" s="38"/>
      <c r="I150" s="38"/>
      <c r="J150" s="48"/>
      <c r="K150" s="49"/>
      <c r="M150" s="25">
        <f t="shared" si="205"/>
        <v>0</v>
      </c>
      <c r="N150" s="25" t="str">
        <f t="shared" si="224"/>
        <v/>
      </c>
      <c r="O150" s="26" t="str">
        <f t="shared" si="206"/>
        <v/>
      </c>
      <c r="P150" s="26">
        <f t="shared" si="207"/>
        <v>0</v>
      </c>
      <c r="Q150" s="20" t="s">
        <v>41</v>
      </c>
      <c r="R150" s="20">
        <f t="shared" si="199"/>
        <v>0</v>
      </c>
      <c r="S150" s="20">
        <f t="shared" si="200"/>
        <v>0</v>
      </c>
      <c r="T150" s="20">
        <f t="shared" si="208"/>
        <v>0</v>
      </c>
      <c r="U150" s="20">
        <f t="shared" si="209"/>
        <v>0</v>
      </c>
      <c r="V150" s="20" t="str">
        <f t="shared" si="201"/>
        <v/>
      </c>
      <c r="W150" s="20" t="str">
        <f t="shared" si="202"/>
        <v/>
      </c>
      <c r="X150" s="20" t="str">
        <f t="shared" si="210"/>
        <v/>
      </c>
      <c r="Y150">
        <f t="shared" si="211"/>
        <v>0</v>
      </c>
      <c r="Z150">
        <f t="shared" si="212"/>
        <v>0</v>
      </c>
      <c r="AA150" s="14" t="b">
        <f t="shared" si="203"/>
        <v>0</v>
      </c>
      <c r="AB150" s="28" t="str">
        <f t="shared" si="213"/>
        <v/>
      </c>
      <c r="AC150" s="20" t="str">
        <f t="shared" si="214"/>
        <v/>
      </c>
      <c r="AD150" s="20" t="str">
        <f t="shared" si="215"/>
        <v/>
      </c>
    </row>
    <row r="151" spans="1:30" ht="15" customHeight="1">
      <c r="A151" s="54"/>
      <c r="B151" s="60"/>
      <c r="C151" s="33" t="str">
        <f t="shared" ref="C151" si="239">IF(OR(LEN(C150)&lt;1,LEN(D150)&lt;1),"","B")</f>
        <v/>
      </c>
      <c r="D151" s="38"/>
      <c r="E151" s="44"/>
      <c r="F151" s="52"/>
      <c r="G151" s="57"/>
      <c r="H151" s="38"/>
      <c r="I151" s="38"/>
      <c r="J151" s="48"/>
      <c r="K151" s="49"/>
      <c r="M151" s="25">
        <f t="shared" si="205"/>
        <v>0</v>
      </c>
      <c r="N151" s="25" t="str">
        <f t="shared" si="224"/>
        <v/>
      </c>
      <c r="O151" s="26" t="str">
        <f t="shared" si="206"/>
        <v/>
      </c>
      <c r="P151" s="26">
        <f t="shared" si="207"/>
        <v>0</v>
      </c>
      <c r="Q151" s="20" t="s">
        <v>41</v>
      </c>
      <c r="R151" s="20">
        <f t="shared" si="199"/>
        <v>0</v>
      </c>
      <c r="S151" s="20">
        <f t="shared" si="200"/>
        <v>0</v>
      </c>
      <c r="T151" s="20">
        <f t="shared" si="208"/>
        <v>0</v>
      </c>
      <c r="U151" s="20">
        <f t="shared" si="209"/>
        <v>0</v>
      </c>
      <c r="V151" s="20" t="str">
        <f t="shared" si="201"/>
        <v/>
      </c>
      <c r="W151" s="20" t="str">
        <f t="shared" si="202"/>
        <v/>
      </c>
      <c r="X151" s="20" t="str">
        <f t="shared" si="210"/>
        <v/>
      </c>
      <c r="Y151">
        <f t="shared" si="211"/>
        <v>0</v>
      </c>
      <c r="Z151">
        <f t="shared" si="212"/>
        <v>0</v>
      </c>
      <c r="AA151" s="14" t="b">
        <f t="shared" si="203"/>
        <v>0</v>
      </c>
      <c r="AB151" s="28" t="str">
        <f t="shared" si="213"/>
        <v/>
      </c>
      <c r="AC151" s="20" t="str">
        <f t="shared" si="214"/>
        <v/>
      </c>
      <c r="AD151" s="20" t="str">
        <f t="shared" si="215"/>
        <v/>
      </c>
    </row>
    <row r="152" spans="1:30" ht="15" customHeight="1">
      <c r="A152" s="54"/>
      <c r="B152" s="60"/>
      <c r="C152" s="33" t="str">
        <f t="shared" ref="C152" si="240">IF(OR(LEN(C151)&lt;1,LEN(D152)&lt;1),"","C")</f>
        <v/>
      </c>
      <c r="D152" s="38"/>
      <c r="E152" s="42"/>
      <c r="F152" s="52"/>
      <c r="G152" s="57"/>
      <c r="H152" s="38"/>
      <c r="I152" s="38"/>
      <c r="J152" s="48"/>
      <c r="K152" s="49"/>
      <c r="M152" s="25">
        <f t="shared" si="205"/>
        <v>0</v>
      </c>
      <c r="N152" s="25" t="str">
        <f t="shared" si="224"/>
        <v/>
      </c>
      <c r="O152" s="26" t="str">
        <f t="shared" si="206"/>
        <v/>
      </c>
      <c r="P152" s="26">
        <f t="shared" si="207"/>
        <v>0</v>
      </c>
      <c r="Q152" s="20" t="s">
        <v>41</v>
      </c>
      <c r="R152" s="20">
        <f t="shared" si="199"/>
        <v>0</v>
      </c>
      <c r="S152" s="20">
        <f t="shared" si="200"/>
        <v>0</v>
      </c>
      <c r="T152" s="20">
        <f t="shared" si="208"/>
        <v>0</v>
      </c>
      <c r="U152" s="20">
        <f t="shared" si="209"/>
        <v>0</v>
      </c>
      <c r="V152" s="20" t="str">
        <f t="shared" si="201"/>
        <v/>
      </c>
      <c r="W152" s="20" t="str">
        <f t="shared" si="202"/>
        <v/>
      </c>
      <c r="X152" s="20" t="str">
        <f t="shared" si="210"/>
        <v/>
      </c>
      <c r="Y152">
        <f t="shared" si="211"/>
        <v>0</v>
      </c>
      <c r="Z152">
        <f t="shared" si="212"/>
        <v>0</v>
      </c>
      <c r="AA152" s="14" t="b">
        <f t="shared" si="203"/>
        <v>0</v>
      </c>
      <c r="AB152" s="28" t="str">
        <f t="shared" si="213"/>
        <v/>
      </c>
      <c r="AC152" s="20" t="str">
        <f t="shared" si="214"/>
        <v/>
      </c>
      <c r="AD152" s="20" t="str">
        <f t="shared" si="215"/>
        <v/>
      </c>
    </row>
    <row r="153" spans="1:30" ht="15" customHeight="1">
      <c r="A153" s="54"/>
      <c r="B153" s="60"/>
      <c r="C153" s="33" t="str">
        <f t="shared" ref="C153" si="241">IF(OR(LEN(C152)&lt;1,LEN(D153)&lt;1),"","D")</f>
        <v/>
      </c>
      <c r="D153" s="38"/>
      <c r="E153" s="44"/>
      <c r="F153" s="52"/>
      <c r="G153" s="57"/>
      <c r="H153" s="38"/>
      <c r="I153" s="38"/>
      <c r="J153" s="48"/>
      <c r="K153" s="49"/>
      <c r="M153" s="25">
        <f t="shared" si="205"/>
        <v>0</v>
      </c>
      <c r="N153" s="25" t="str">
        <f t="shared" si="224"/>
        <v/>
      </c>
      <c r="O153" s="26" t="str">
        <f t="shared" si="206"/>
        <v/>
      </c>
      <c r="P153" s="26">
        <f t="shared" si="207"/>
        <v>0</v>
      </c>
      <c r="Q153" s="20" t="s">
        <v>41</v>
      </c>
      <c r="R153" s="20">
        <f t="shared" si="199"/>
        <v>0</v>
      </c>
      <c r="S153" s="20">
        <f t="shared" si="200"/>
        <v>0</v>
      </c>
      <c r="T153" s="20">
        <f t="shared" si="208"/>
        <v>0</v>
      </c>
      <c r="U153" s="20">
        <f t="shared" si="209"/>
        <v>0</v>
      </c>
      <c r="V153" s="20" t="str">
        <f t="shared" si="201"/>
        <v/>
      </c>
      <c r="W153" s="20" t="str">
        <f t="shared" si="202"/>
        <v/>
      </c>
      <c r="X153" s="20" t="str">
        <f t="shared" si="210"/>
        <v/>
      </c>
      <c r="Y153">
        <f t="shared" si="211"/>
        <v>0</v>
      </c>
      <c r="Z153">
        <f t="shared" si="212"/>
        <v>0</v>
      </c>
      <c r="AA153" s="14" t="b">
        <f t="shared" si="203"/>
        <v>0</v>
      </c>
      <c r="AB153" s="28" t="str">
        <f t="shared" si="213"/>
        <v/>
      </c>
      <c r="AC153" s="20" t="str">
        <f t="shared" si="214"/>
        <v/>
      </c>
      <c r="AD153" s="20" t="str">
        <f t="shared" si="215"/>
        <v/>
      </c>
    </row>
    <row r="154" spans="1:30" ht="15.75" customHeight="1" thickBot="1">
      <c r="A154" s="55"/>
      <c r="B154" s="61"/>
      <c r="C154" s="36" t="str">
        <f t="shared" ref="C154" si="242">IF(OR(LEN(C153)&lt;1,LEN(D154)&lt;1),"","E")</f>
        <v/>
      </c>
      <c r="D154" s="39"/>
      <c r="E154" s="45"/>
      <c r="F154" s="53"/>
      <c r="G154" s="58"/>
      <c r="H154" s="39"/>
      <c r="I154" s="39"/>
      <c r="J154" s="39"/>
      <c r="K154" s="50"/>
      <c r="M154" s="25">
        <f t="shared" si="205"/>
        <v>0</v>
      </c>
      <c r="N154" s="25" t="str">
        <f t="shared" si="224"/>
        <v/>
      </c>
      <c r="O154" s="26" t="str">
        <f t="shared" si="206"/>
        <v/>
      </c>
      <c r="P154" s="26">
        <f t="shared" si="207"/>
        <v>0</v>
      </c>
      <c r="Q154" s="20" t="s">
        <v>41</v>
      </c>
      <c r="R154" s="20">
        <f t="shared" si="199"/>
        <v>0</v>
      </c>
      <c r="S154" s="20">
        <f t="shared" si="200"/>
        <v>0</v>
      </c>
      <c r="T154" s="20">
        <f t="shared" si="208"/>
        <v>0</v>
      </c>
      <c r="U154" s="20">
        <f t="shared" si="209"/>
        <v>0</v>
      </c>
      <c r="V154" s="20" t="str">
        <f t="shared" si="201"/>
        <v/>
      </c>
      <c r="W154" s="20" t="str">
        <f t="shared" si="202"/>
        <v/>
      </c>
      <c r="X154" s="20" t="str">
        <f t="shared" si="210"/>
        <v/>
      </c>
      <c r="Y154">
        <f t="shared" si="211"/>
        <v>0</v>
      </c>
      <c r="Z154">
        <f t="shared" si="212"/>
        <v>0</v>
      </c>
      <c r="AA154" s="14" t="b">
        <f t="shared" si="203"/>
        <v>0</v>
      </c>
      <c r="AB154" s="28" t="str">
        <f t="shared" si="213"/>
        <v/>
      </c>
      <c r="AC154" s="20" t="str">
        <f t="shared" si="214"/>
        <v/>
      </c>
      <c r="AD154" s="20" t="str">
        <f t="shared" si="215"/>
        <v/>
      </c>
    </row>
    <row r="155" spans="1:30" ht="15" customHeight="1">
      <c r="A155" s="54"/>
      <c r="B155" s="59" t="str">
        <f t="shared" ref="B155" si="243">IF(LEN(A155)&lt;1,"",IF(ISBLANK(B149),"",B149+1))</f>
        <v/>
      </c>
      <c r="C155" s="35" t="str">
        <f t="shared" ref="C155" si="244">IF(ISBLANK(A155),"",IF(A155="Uraian Panjang","Teks Uraian","Teks Soal"))</f>
        <v/>
      </c>
      <c r="D155" s="40"/>
      <c r="E155" s="41"/>
      <c r="F155" s="52" t="str">
        <f t="shared" ref="F155" si="245">IF(ISBLANK(A155),"",IF(A155="Pilihan Ganda","Centang salah satu jawaban disamping pada kolom KUNCI",IF(A155="Jawaban Jamak","Centang beberapa jawaban disamping pada kolom KUNCI",IF(A155="Uraian Panjang","Pastikan tidak ada jawaban yang tercentang pada kolom KUNCI",IF(A155="Esai Koreksi Otomatis","Kunci jawaban adalah teks opsi dan centang opsi tersebut pada kolom KUNCI","ISIKAN JODOHNYA PADA KOLOM KUNCI")))))</f>
        <v/>
      </c>
      <c r="G155" s="56" t="str">
        <f>IF(LEN(A155)&lt;1,"",IF(AA155=FALSE,"Ada kesalahan, mohon perhatikan kolom KETERANGAN",""))</f>
        <v/>
      </c>
      <c r="H155" s="40"/>
      <c r="I155" s="40"/>
      <c r="J155" s="46"/>
      <c r="K155" s="47"/>
      <c r="M155" s="25">
        <f t="shared" si="205"/>
        <v>0</v>
      </c>
      <c r="N155" s="25" t="str">
        <f t="shared" si="224"/>
        <v/>
      </c>
      <c r="O155" s="26" t="str">
        <f t="shared" si="206"/>
        <v/>
      </c>
      <c r="P155" s="26">
        <f t="shared" si="207"/>
        <v>0</v>
      </c>
      <c r="Q155" s="20" t="s">
        <v>41</v>
      </c>
      <c r="R155" s="20">
        <f t="shared" si="199"/>
        <v>0</v>
      </c>
      <c r="S155" s="20">
        <f t="shared" si="200"/>
        <v>0</v>
      </c>
      <c r="T155" s="20">
        <f t="shared" si="208"/>
        <v>0</v>
      </c>
      <c r="U155" s="20">
        <f t="shared" si="209"/>
        <v>0</v>
      </c>
      <c r="V155" s="20" t="str">
        <f t="shared" si="201"/>
        <v/>
      </c>
      <c r="W155" s="20" t="str">
        <f t="shared" si="202"/>
        <v/>
      </c>
      <c r="X155" s="20" t="str">
        <f t="shared" si="210"/>
        <v/>
      </c>
      <c r="Y155">
        <f t="shared" si="211"/>
        <v>0</v>
      </c>
      <c r="Z155">
        <f t="shared" si="212"/>
        <v>0</v>
      </c>
      <c r="AA155" s="14" t="b">
        <f t="shared" si="203"/>
        <v>0</v>
      </c>
      <c r="AB155" s="28" t="str">
        <f t="shared" si="213"/>
        <v/>
      </c>
      <c r="AC155" s="20" t="str">
        <f t="shared" si="214"/>
        <v/>
      </c>
      <c r="AD155" s="20" t="str">
        <f t="shared" si="215"/>
        <v/>
      </c>
    </row>
    <row r="156" spans="1:30" ht="15" customHeight="1">
      <c r="A156" s="54"/>
      <c r="B156" s="60"/>
      <c r="C156" s="33" t="str">
        <f t="shared" ref="C156" si="246">IF(C155="Teks Uraian","",IF(OR(LEN(C155)&lt;1,LEN(D156)&lt;1),"","A"))</f>
        <v/>
      </c>
      <c r="D156" s="38"/>
      <c r="E156" s="44"/>
      <c r="F156" s="52"/>
      <c r="G156" s="57"/>
      <c r="H156" s="38"/>
      <c r="I156" s="38"/>
      <c r="J156" s="48"/>
      <c r="K156" s="49"/>
      <c r="M156" s="25">
        <f t="shared" si="205"/>
        <v>0</v>
      </c>
      <c r="N156" s="25" t="str">
        <f t="shared" si="224"/>
        <v/>
      </c>
      <c r="O156" s="26" t="str">
        <f t="shared" si="206"/>
        <v/>
      </c>
      <c r="P156" s="26">
        <f t="shared" si="207"/>
        <v>0</v>
      </c>
      <c r="Q156" s="20" t="s">
        <v>41</v>
      </c>
      <c r="R156" s="20">
        <f t="shared" si="199"/>
        <v>0</v>
      </c>
      <c r="S156" s="20">
        <f t="shared" si="200"/>
        <v>0</v>
      </c>
      <c r="T156" s="20">
        <f t="shared" si="208"/>
        <v>0</v>
      </c>
      <c r="U156" s="20">
        <f t="shared" si="209"/>
        <v>0</v>
      </c>
      <c r="V156" s="20" t="str">
        <f t="shared" si="201"/>
        <v/>
      </c>
      <c r="W156" s="20" t="str">
        <f t="shared" si="202"/>
        <v/>
      </c>
      <c r="X156" s="20" t="str">
        <f t="shared" si="210"/>
        <v/>
      </c>
      <c r="Y156">
        <f t="shared" si="211"/>
        <v>0</v>
      </c>
      <c r="Z156">
        <f t="shared" si="212"/>
        <v>0</v>
      </c>
      <c r="AA156" s="14" t="b">
        <f t="shared" si="203"/>
        <v>0</v>
      </c>
      <c r="AB156" s="28" t="str">
        <f t="shared" si="213"/>
        <v/>
      </c>
      <c r="AC156" s="20" t="str">
        <f t="shared" si="214"/>
        <v/>
      </c>
      <c r="AD156" s="20" t="str">
        <f t="shared" si="215"/>
        <v/>
      </c>
    </row>
    <row r="157" spans="1:30" ht="15" customHeight="1">
      <c r="A157" s="54"/>
      <c r="B157" s="60"/>
      <c r="C157" s="33" t="str">
        <f t="shared" ref="C157" si="247">IF(OR(LEN(C156)&lt;1,LEN(D156)&lt;1),"","B")</f>
        <v/>
      </c>
      <c r="D157" s="38"/>
      <c r="E157" s="44"/>
      <c r="F157" s="52"/>
      <c r="G157" s="57"/>
      <c r="H157" s="38"/>
      <c r="I157" s="38"/>
      <c r="J157" s="48"/>
      <c r="K157" s="49"/>
      <c r="M157" s="25">
        <f t="shared" si="205"/>
        <v>0</v>
      </c>
      <c r="N157" s="25" t="str">
        <f t="shared" si="224"/>
        <v/>
      </c>
      <c r="O157" s="26" t="str">
        <f t="shared" si="206"/>
        <v/>
      </c>
      <c r="P157" s="26">
        <f t="shared" si="207"/>
        <v>0</v>
      </c>
      <c r="Q157" s="20" t="s">
        <v>41</v>
      </c>
      <c r="R157" s="20">
        <f t="shared" si="199"/>
        <v>0</v>
      </c>
      <c r="S157" s="20">
        <f t="shared" si="200"/>
        <v>0</v>
      </c>
      <c r="T157" s="20">
        <f t="shared" si="208"/>
        <v>0</v>
      </c>
      <c r="U157" s="20">
        <f t="shared" si="209"/>
        <v>0</v>
      </c>
      <c r="V157" s="20" t="str">
        <f t="shared" si="201"/>
        <v/>
      </c>
      <c r="W157" s="20" t="str">
        <f t="shared" si="202"/>
        <v/>
      </c>
      <c r="X157" s="20" t="str">
        <f t="shared" si="210"/>
        <v/>
      </c>
      <c r="Y157">
        <f t="shared" si="211"/>
        <v>0</v>
      </c>
      <c r="Z157">
        <f t="shared" si="212"/>
        <v>0</v>
      </c>
      <c r="AA157" s="14" t="b">
        <f t="shared" si="203"/>
        <v>0</v>
      </c>
      <c r="AB157" s="28" t="str">
        <f t="shared" si="213"/>
        <v/>
      </c>
      <c r="AC157" s="20" t="str">
        <f t="shared" si="214"/>
        <v/>
      </c>
      <c r="AD157" s="20" t="str">
        <f t="shared" si="215"/>
        <v/>
      </c>
    </row>
    <row r="158" spans="1:30" ht="15" customHeight="1">
      <c r="A158" s="54"/>
      <c r="B158" s="60"/>
      <c r="C158" s="33" t="str">
        <f t="shared" ref="C158" si="248">IF(OR(LEN(C157)&lt;1,LEN(D158)&lt;1),"","C")</f>
        <v/>
      </c>
      <c r="D158" s="38"/>
      <c r="E158" s="42"/>
      <c r="F158" s="52"/>
      <c r="G158" s="57"/>
      <c r="H158" s="38"/>
      <c r="I158" s="38"/>
      <c r="J158" s="48"/>
      <c r="K158" s="49"/>
      <c r="M158" s="25">
        <f t="shared" si="205"/>
        <v>0</v>
      </c>
      <c r="N158" s="25" t="str">
        <f t="shared" si="224"/>
        <v/>
      </c>
      <c r="O158" s="26" t="str">
        <f t="shared" si="206"/>
        <v/>
      </c>
      <c r="P158" s="26">
        <f t="shared" si="207"/>
        <v>0</v>
      </c>
      <c r="Q158" s="20" t="s">
        <v>41</v>
      </c>
      <c r="R158" s="20">
        <f t="shared" si="199"/>
        <v>0</v>
      </c>
      <c r="S158" s="20">
        <f t="shared" si="200"/>
        <v>0</v>
      </c>
      <c r="T158" s="20">
        <f t="shared" si="208"/>
        <v>0</v>
      </c>
      <c r="U158" s="20">
        <f t="shared" si="209"/>
        <v>0</v>
      </c>
      <c r="V158" s="20" t="str">
        <f t="shared" si="201"/>
        <v/>
      </c>
      <c r="W158" s="20" t="str">
        <f t="shared" si="202"/>
        <v/>
      </c>
      <c r="X158" s="20" t="str">
        <f t="shared" si="210"/>
        <v/>
      </c>
      <c r="Y158">
        <f t="shared" si="211"/>
        <v>0</v>
      </c>
      <c r="Z158">
        <f t="shared" si="212"/>
        <v>0</v>
      </c>
      <c r="AA158" s="14" t="b">
        <f t="shared" si="203"/>
        <v>0</v>
      </c>
      <c r="AB158" s="28" t="str">
        <f t="shared" si="213"/>
        <v/>
      </c>
      <c r="AC158" s="20" t="str">
        <f t="shared" si="214"/>
        <v/>
      </c>
      <c r="AD158" s="20" t="str">
        <f t="shared" si="215"/>
        <v/>
      </c>
    </row>
    <row r="159" spans="1:30" ht="15" customHeight="1">
      <c r="A159" s="54"/>
      <c r="B159" s="60"/>
      <c r="C159" s="33" t="str">
        <f t="shared" ref="C159" si="249">IF(OR(LEN(C158)&lt;1,LEN(D159)&lt;1),"","D")</f>
        <v/>
      </c>
      <c r="D159" s="38"/>
      <c r="E159" s="44"/>
      <c r="F159" s="52"/>
      <c r="G159" s="57"/>
      <c r="H159" s="38"/>
      <c r="I159" s="38"/>
      <c r="J159" s="48"/>
      <c r="K159" s="49"/>
      <c r="M159" s="25">
        <f t="shared" si="205"/>
        <v>0</v>
      </c>
      <c r="N159" s="25" t="str">
        <f t="shared" si="224"/>
        <v/>
      </c>
      <c r="O159" s="26" t="str">
        <f t="shared" si="206"/>
        <v/>
      </c>
      <c r="P159" s="26">
        <f t="shared" si="207"/>
        <v>0</v>
      </c>
      <c r="Q159" s="20" t="s">
        <v>41</v>
      </c>
      <c r="R159" s="20">
        <f t="shared" si="199"/>
        <v>0</v>
      </c>
      <c r="S159" s="20">
        <f t="shared" si="200"/>
        <v>0</v>
      </c>
      <c r="T159" s="20">
        <f t="shared" si="208"/>
        <v>0</v>
      </c>
      <c r="U159" s="20">
        <f t="shared" si="209"/>
        <v>0</v>
      </c>
      <c r="V159" s="20" t="str">
        <f t="shared" si="201"/>
        <v/>
      </c>
      <c r="W159" s="20" t="str">
        <f t="shared" si="202"/>
        <v/>
      </c>
      <c r="X159" s="20" t="str">
        <f t="shared" si="210"/>
        <v/>
      </c>
      <c r="Y159">
        <f t="shared" si="211"/>
        <v>0</v>
      </c>
      <c r="Z159">
        <f t="shared" si="212"/>
        <v>0</v>
      </c>
      <c r="AA159" s="14" t="b">
        <f t="shared" si="203"/>
        <v>0</v>
      </c>
      <c r="AB159" s="28" t="str">
        <f t="shared" si="213"/>
        <v/>
      </c>
      <c r="AC159" s="20" t="str">
        <f t="shared" si="214"/>
        <v/>
      </c>
      <c r="AD159" s="20" t="str">
        <f t="shared" si="215"/>
        <v/>
      </c>
    </row>
    <row r="160" spans="1:30" ht="15.75" customHeight="1" thickBot="1">
      <c r="A160" s="55"/>
      <c r="B160" s="61"/>
      <c r="C160" s="36" t="str">
        <f t="shared" ref="C160" si="250">IF(OR(LEN(C159)&lt;1,LEN(D160)&lt;1),"","E")</f>
        <v/>
      </c>
      <c r="D160" s="39"/>
      <c r="E160" s="45"/>
      <c r="F160" s="53"/>
      <c r="G160" s="58"/>
      <c r="H160" s="39"/>
      <c r="I160" s="39"/>
      <c r="J160" s="39"/>
      <c r="K160" s="50"/>
      <c r="M160" s="25">
        <f t="shared" si="205"/>
        <v>0</v>
      </c>
      <c r="N160" s="25" t="str">
        <f t="shared" si="224"/>
        <v/>
      </c>
      <c r="O160" s="26" t="str">
        <f t="shared" si="206"/>
        <v/>
      </c>
      <c r="P160" s="26">
        <f t="shared" si="207"/>
        <v>0</v>
      </c>
      <c r="Q160" s="20" t="s">
        <v>41</v>
      </c>
      <c r="R160" s="20">
        <f t="shared" si="199"/>
        <v>0</v>
      </c>
      <c r="S160" s="20">
        <f t="shared" si="200"/>
        <v>0</v>
      </c>
      <c r="T160" s="20">
        <f t="shared" si="208"/>
        <v>0</v>
      </c>
      <c r="U160" s="20">
        <f t="shared" si="209"/>
        <v>0</v>
      </c>
      <c r="V160" s="20" t="str">
        <f t="shared" si="201"/>
        <v/>
      </c>
      <c r="W160" s="20" t="str">
        <f t="shared" si="202"/>
        <v/>
      </c>
      <c r="X160" s="20" t="str">
        <f t="shared" si="210"/>
        <v/>
      </c>
      <c r="Y160">
        <f t="shared" si="211"/>
        <v>0</v>
      </c>
      <c r="Z160">
        <f t="shared" si="212"/>
        <v>0</v>
      </c>
      <c r="AA160" s="14" t="b">
        <f t="shared" si="203"/>
        <v>0</v>
      </c>
      <c r="AB160" s="28" t="str">
        <f t="shared" si="213"/>
        <v/>
      </c>
      <c r="AC160" s="20" t="str">
        <f t="shared" si="214"/>
        <v/>
      </c>
      <c r="AD160" s="20" t="str">
        <f t="shared" si="215"/>
        <v/>
      </c>
    </row>
    <row r="161" spans="1:30" ht="15" customHeight="1">
      <c r="A161" s="54"/>
      <c r="B161" s="59" t="str">
        <f t="shared" ref="B161" si="251">IF(LEN(A161)&lt;1,"",IF(ISBLANK(B155),"",B155+1))</f>
        <v/>
      </c>
      <c r="C161" s="35" t="str">
        <f t="shared" ref="C161" si="252">IF(ISBLANK(A161),"",IF(A161="Uraian Panjang","Teks Uraian","Teks Soal"))</f>
        <v/>
      </c>
      <c r="D161" s="40"/>
      <c r="E161" s="41"/>
      <c r="F161" s="52" t="str">
        <f t="shared" ref="F161" si="253">IF(ISBLANK(A161),"",IF(A161="Pilihan Ganda","Centang salah satu jawaban disamping pada kolom KUNCI",IF(A161="Jawaban Jamak","Centang beberapa jawaban disamping pada kolom KUNCI",IF(A161="Uraian Panjang","Pastikan tidak ada jawaban yang tercentang pada kolom KUNCI",IF(A161="Esai Koreksi Otomatis","Kunci jawaban adalah teks opsi dan centang opsi tersebut pada kolom KUNCI","ISIKAN JODOHNYA PADA KOLOM KUNCI")))))</f>
        <v/>
      </c>
      <c r="G161" s="56" t="str">
        <f>IF(LEN(A161)&lt;1,"",IF(AA161=FALSE,"Ada kesalahan, mohon perhatikan kolom KETERANGAN",""))</f>
        <v/>
      </c>
      <c r="H161" s="40"/>
      <c r="I161" s="40"/>
      <c r="J161" s="46"/>
      <c r="K161" s="47"/>
      <c r="M161" s="25">
        <f t="shared" si="205"/>
        <v>0</v>
      </c>
      <c r="N161" s="25" t="str">
        <f t="shared" si="224"/>
        <v/>
      </c>
      <c r="O161" s="26" t="str">
        <f t="shared" si="206"/>
        <v/>
      </c>
      <c r="P161" s="26">
        <f t="shared" si="207"/>
        <v>0</v>
      </c>
      <c r="Q161" s="20" t="s">
        <v>41</v>
      </c>
      <c r="R161" s="20">
        <f t="shared" si="199"/>
        <v>0</v>
      </c>
      <c r="S161" s="20">
        <f t="shared" si="200"/>
        <v>0</v>
      </c>
      <c r="T161" s="20">
        <f t="shared" si="208"/>
        <v>0</v>
      </c>
      <c r="U161" s="20">
        <f t="shared" si="209"/>
        <v>0</v>
      </c>
      <c r="V161" s="20" t="str">
        <f t="shared" si="201"/>
        <v/>
      </c>
      <c r="W161" s="20" t="str">
        <f t="shared" si="202"/>
        <v/>
      </c>
      <c r="X161" s="20" t="str">
        <f t="shared" si="210"/>
        <v/>
      </c>
      <c r="Y161">
        <f t="shared" si="211"/>
        <v>0</v>
      </c>
      <c r="Z161">
        <f t="shared" si="212"/>
        <v>0</v>
      </c>
      <c r="AA161" s="14" t="b">
        <f t="shared" si="203"/>
        <v>0</v>
      </c>
      <c r="AB161" s="28" t="str">
        <f t="shared" si="213"/>
        <v/>
      </c>
      <c r="AC161" s="20" t="str">
        <f t="shared" si="214"/>
        <v/>
      </c>
      <c r="AD161" s="20" t="str">
        <f t="shared" si="215"/>
        <v/>
      </c>
    </row>
    <row r="162" spans="1:30" ht="15" customHeight="1">
      <c r="A162" s="54"/>
      <c r="B162" s="60"/>
      <c r="C162" s="33" t="str">
        <f t="shared" ref="C162" si="254">IF(C161="Teks Uraian","",IF(OR(LEN(C161)&lt;1,LEN(D162)&lt;1),"","A"))</f>
        <v/>
      </c>
      <c r="D162" s="38"/>
      <c r="E162" s="44"/>
      <c r="F162" s="52"/>
      <c r="G162" s="57"/>
      <c r="H162" s="38"/>
      <c r="I162" s="38"/>
      <c r="J162" s="48"/>
      <c r="K162" s="49"/>
      <c r="M162" s="25">
        <f t="shared" si="205"/>
        <v>0</v>
      </c>
      <c r="N162" s="25" t="str">
        <f t="shared" si="224"/>
        <v/>
      </c>
      <c r="O162" s="26" t="str">
        <f t="shared" si="206"/>
        <v/>
      </c>
      <c r="P162" s="26">
        <f t="shared" si="207"/>
        <v>0</v>
      </c>
      <c r="Q162" s="20" t="s">
        <v>41</v>
      </c>
      <c r="R162" s="20">
        <f t="shared" si="199"/>
        <v>0</v>
      </c>
      <c r="S162" s="20">
        <f t="shared" si="200"/>
        <v>0</v>
      </c>
      <c r="T162" s="20">
        <f t="shared" si="208"/>
        <v>0</v>
      </c>
      <c r="U162" s="20">
        <f t="shared" si="209"/>
        <v>0</v>
      </c>
      <c r="V162" s="20" t="str">
        <f t="shared" si="201"/>
        <v/>
      </c>
      <c r="W162" s="20" t="str">
        <f t="shared" si="202"/>
        <v/>
      </c>
      <c r="X162" s="20" t="str">
        <f t="shared" si="210"/>
        <v/>
      </c>
      <c r="Y162">
        <f t="shared" si="211"/>
        <v>0</v>
      </c>
      <c r="Z162">
        <f t="shared" si="212"/>
        <v>0</v>
      </c>
      <c r="AA162" s="14" t="b">
        <f t="shared" si="203"/>
        <v>0</v>
      </c>
      <c r="AB162" s="28" t="str">
        <f t="shared" si="213"/>
        <v/>
      </c>
      <c r="AC162" s="20" t="str">
        <f t="shared" si="214"/>
        <v/>
      </c>
      <c r="AD162" s="20" t="str">
        <f t="shared" si="215"/>
        <v/>
      </c>
    </row>
    <row r="163" spans="1:30" ht="15" customHeight="1">
      <c r="A163" s="54"/>
      <c r="B163" s="60"/>
      <c r="C163" s="33" t="str">
        <f t="shared" ref="C163" si="255">IF(OR(LEN(C162)&lt;1,LEN(D162)&lt;1),"","B")</f>
        <v/>
      </c>
      <c r="D163" s="38"/>
      <c r="E163" s="44"/>
      <c r="F163" s="52"/>
      <c r="G163" s="57"/>
      <c r="H163" s="38"/>
      <c r="I163" s="38"/>
      <c r="J163" s="48"/>
      <c r="K163" s="49"/>
      <c r="M163" s="25">
        <f t="shared" si="205"/>
        <v>0</v>
      </c>
      <c r="N163" s="25" t="str">
        <f t="shared" si="224"/>
        <v/>
      </c>
      <c r="O163" s="26" t="str">
        <f t="shared" si="206"/>
        <v/>
      </c>
      <c r="P163" s="26">
        <f t="shared" si="207"/>
        <v>0</v>
      </c>
      <c r="Q163" s="20" t="s">
        <v>41</v>
      </c>
      <c r="R163" s="20">
        <f t="shared" si="199"/>
        <v>0</v>
      </c>
      <c r="S163" s="20">
        <f t="shared" si="200"/>
        <v>0</v>
      </c>
      <c r="T163" s="20">
        <f t="shared" si="208"/>
        <v>0</v>
      </c>
      <c r="U163" s="20">
        <f t="shared" si="209"/>
        <v>0</v>
      </c>
      <c r="V163" s="20" t="str">
        <f t="shared" si="201"/>
        <v/>
      </c>
      <c r="W163" s="20" t="str">
        <f t="shared" si="202"/>
        <v/>
      </c>
      <c r="X163" s="20" t="str">
        <f t="shared" si="210"/>
        <v/>
      </c>
      <c r="Y163">
        <f t="shared" si="211"/>
        <v>0</v>
      </c>
      <c r="Z163">
        <f t="shared" si="212"/>
        <v>0</v>
      </c>
      <c r="AA163" s="14" t="b">
        <f t="shared" si="203"/>
        <v>0</v>
      </c>
      <c r="AB163" s="28" t="str">
        <f t="shared" si="213"/>
        <v/>
      </c>
      <c r="AC163" s="20" t="str">
        <f t="shared" si="214"/>
        <v/>
      </c>
      <c r="AD163" s="20" t="str">
        <f t="shared" si="215"/>
        <v/>
      </c>
    </row>
    <row r="164" spans="1:30" ht="15" customHeight="1">
      <c r="A164" s="54"/>
      <c r="B164" s="60"/>
      <c r="C164" s="33" t="str">
        <f t="shared" ref="C164" si="256">IF(OR(LEN(C163)&lt;1,LEN(D164)&lt;1),"","C")</f>
        <v/>
      </c>
      <c r="D164" s="38"/>
      <c r="E164" s="42"/>
      <c r="F164" s="52"/>
      <c r="G164" s="57"/>
      <c r="H164" s="38"/>
      <c r="I164" s="38"/>
      <c r="J164" s="48"/>
      <c r="K164" s="49"/>
      <c r="M164" s="25">
        <f t="shared" si="205"/>
        <v>0</v>
      </c>
      <c r="N164" s="25" t="str">
        <f t="shared" si="224"/>
        <v/>
      </c>
      <c r="O164" s="26" t="str">
        <f t="shared" si="206"/>
        <v/>
      </c>
      <c r="P164" s="26">
        <f t="shared" si="207"/>
        <v>0</v>
      </c>
      <c r="Q164" s="20" t="s">
        <v>41</v>
      </c>
      <c r="R164" s="20">
        <f t="shared" si="199"/>
        <v>0</v>
      </c>
      <c r="S164" s="20">
        <f t="shared" si="200"/>
        <v>0</v>
      </c>
      <c r="T164" s="20">
        <f t="shared" si="208"/>
        <v>0</v>
      </c>
      <c r="U164" s="20">
        <f t="shared" si="209"/>
        <v>0</v>
      </c>
      <c r="V164" s="20" t="str">
        <f t="shared" si="201"/>
        <v/>
      </c>
      <c r="W164" s="20" t="str">
        <f t="shared" si="202"/>
        <v/>
      </c>
      <c r="X164" s="20" t="str">
        <f t="shared" si="210"/>
        <v/>
      </c>
      <c r="Y164">
        <f t="shared" si="211"/>
        <v>0</v>
      </c>
      <c r="Z164">
        <f t="shared" si="212"/>
        <v>0</v>
      </c>
      <c r="AA164" s="14" t="b">
        <f t="shared" si="203"/>
        <v>0</v>
      </c>
      <c r="AB164" s="28" t="str">
        <f t="shared" si="213"/>
        <v/>
      </c>
      <c r="AC164" s="20" t="str">
        <f t="shared" si="214"/>
        <v/>
      </c>
      <c r="AD164" s="20" t="str">
        <f t="shared" si="215"/>
        <v/>
      </c>
    </row>
    <row r="165" spans="1:30" ht="15" customHeight="1">
      <c r="A165" s="54"/>
      <c r="B165" s="60"/>
      <c r="C165" s="33" t="str">
        <f t="shared" ref="C165" si="257">IF(OR(LEN(C164)&lt;1,LEN(D165)&lt;1),"","D")</f>
        <v/>
      </c>
      <c r="D165" s="38"/>
      <c r="E165" s="44"/>
      <c r="F165" s="52"/>
      <c r="G165" s="57"/>
      <c r="H165" s="38"/>
      <c r="I165" s="38"/>
      <c r="J165" s="48"/>
      <c r="K165" s="49"/>
      <c r="M165" s="25">
        <f t="shared" si="205"/>
        <v>0</v>
      </c>
      <c r="N165" s="25" t="str">
        <f t="shared" si="224"/>
        <v/>
      </c>
      <c r="O165" s="26" t="str">
        <f t="shared" si="206"/>
        <v/>
      </c>
      <c r="P165" s="26">
        <f t="shared" si="207"/>
        <v>0</v>
      </c>
      <c r="Q165" s="20" t="s">
        <v>41</v>
      </c>
      <c r="R165" s="20">
        <f t="shared" si="199"/>
        <v>0</v>
      </c>
      <c r="S165" s="20">
        <f t="shared" si="200"/>
        <v>0</v>
      </c>
      <c r="T165" s="20">
        <f t="shared" si="208"/>
        <v>0</v>
      </c>
      <c r="U165" s="20">
        <f t="shared" si="209"/>
        <v>0</v>
      </c>
      <c r="V165" s="20" t="str">
        <f t="shared" si="201"/>
        <v/>
      </c>
      <c r="W165" s="20" t="str">
        <f t="shared" si="202"/>
        <v/>
      </c>
      <c r="X165" s="20" t="str">
        <f t="shared" si="210"/>
        <v/>
      </c>
      <c r="Y165">
        <f t="shared" si="211"/>
        <v>0</v>
      </c>
      <c r="Z165">
        <f t="shared" si="212"/>
        <v>0</v>
      </c>
      <c r="AA165" s="14" t="b">
        <f t="shared" si="203"/>
        <v>0</v>
      </c>
      <c r="AB165" s="28" t="str">
        <f t="shared" si="213"/>
        <v/>
      </c>
      <c r="AC165" s="20" t="str">
        <f t="shared" si="214"/>
        <v/>
      </c>
      <c r="AD165" s="20" t="str">
        <f t="shared" si="215"/>
        <v/>
      </c>
    </row>
    <row r="166" spans="1:30" ht="15.75" customHeight="1" thickBot="1">
      <c r="A166" s="55"/>
      <c r="B166" s="61"/>
      <c r="C166" s="36" t="str">
        <f t="shared" ref="C166" si="258">IF(OR(LEN(C165)&lt;1,LEN(D166)&lt;1),"","E")</f>
        <v/>
      </c>
      <c r="D166" s="39"/>
      <c r="E166" s="45"/>
      <c r="F166" s="53"/>
      <c r="G166" s="58"/>
      <c r="H166" s="39"/>
      <c r="I166" s="39"/>
      <c r="J166" s="39"/>
      <c r="K166" s="50"/>
      <c r="M166" s="25">
        <f t="shared" si="205"/>
        <v>0</v>
      </c>
      <c r="N166" s="25" t="str">
        <f t="shared" si="224"/>
        <v/>
      </c>
      <c r="O166" s="26" t="str">
        <f t="shared" si="206"/>
        <v/>
      </c>
      <c r="P166" s="26">
        <f t="shared" si="207"/>
        <v>0</v>
      </c>
      <c r="Q166" s="20" t="s">
        <v>41</v>
      </c>
      <c r="R166" s="20">
        <f t="shared" si="199"/>
        <v>0</v>
      </c>
      <c r="S166" s="20">
        <f t="shared" si="200"/>
        <v>0</v>
      </c>
      <c r="T166" s="20">
        <f t="shared" si="208"/>
        <v>0</v>
      </c>
      <c r="U166" s="20">
        <f t="shared" si="209"/>
        <v>0</v>
      </c>
      <c r="V166" s="20" t="str">
        <f t="shared" si="201"/>
        <v/>
      </c>
      <c r="W166" s="20" t="str">
        <f t="shared" si="202"/>
        <v/>
      </c>
      <c r="X166" s="20" t="str">
        <f t="shared" si="210"/>
        <v/>
      </c>
      <c r="Y166">
        <f t="shared" si="211"/>
        <v>0</v>
      </c>
      <c r="Z166">
        <f t="shared" si="212"/>
        <v>0</v>
      </c>
      <c r="AA166" s="14" t="b">
        <f t="shared" si="203"/>
        <v>0</v>
      </c>
      <c r="AB166" s="28" t="str">
        <f t="shared" si="213"/>
        <v/>
      </c>
      <c r="AC166" s="20" t="str">
        <f t="shared" si="214"/>
        <v/>
      </c>
      <c r="AD166" s="20" t="str">
        <f t="shared" si="215"/>
        <v/>
      </c>
    </row>
    <row r="167" spans="1:30" ht="15" customHeight="1">
      <c r="A167" s="54"/>
      <c r="B167" s="59" t="str">
        <f t="shared" ref="B167" si="259">IF(LEN(A167)&lt;1,"",IF(ISBLANK(B161),"",B161+1))</f>
        <v/>
      </c>
      <c r="C167" s="35" t="str">
        <f t="shared" ref="C167" si="260">IF(ISBLANK(A167),"",IF(A167="Uraian Panjang","Teks Uraian","Teks Soal"))</f>
        <v/>
      </c>
      <c r="D167" s="40"/>
      <c r="E167" s="41"/>
      <c r="F167" s="52" t="str">
        <f t="shared" ref="F167" si="261">IF(ISBLANK(A167),"",IF(A167="Pilihan Ganda","Centang salah satu jawaban disamping pada kolom KUNCI",IF(A167="Jawaban Jamak","Centang beberapa jawaban disamping pada kolom KUNCI",IF(A167="Uraian Panjang","Pastikan tidak ada jawaban yang tercentang pada kolom KUNCI",IF(A167="Esai Koreksi Otomatis","Kunci jawaban adalah teks opsi dan centang opsi tersebut pada kolom KUNCI","ISIKAN JODOHNYA PADA KOLOM KUNCI")))))</f>
        <v/>
      </c>
      <c r="G167" s="56" t="str">
        <f>IF(LEN(A167)&lt;1,"",IF(AA167=FALSE,"Ada kesalahan, mohon perhatikan kolom KETERANGAN",""))</f>
        <v/>
      </c>
      <c r="H167" s="40"/>
      <c r="I167" s="40"/>
      <c r="J167" s="46"/>
      <c r="K167" s="47"/>
      <c r="M167" s="25">
        <f t="shared" si="205"/>
        <v>0</v>
      </c>
      <c r="N167" s="25" t="str">
        <f t="shared" si="224"/>
        <v/>
      </c>
      <c r="O167" s="26" t="str">
        <f t="shared" si="206"/>
        <v/>
      </c>
      <c r="P167" s="26">
        <f t="shared" si="207"/>
        <v>0</v>
      </c>
      <c r="Q167" s="20" t="s">
        <v>41</v>
      </c>
      <c r="R167" s="20">
        <f t="shared" si="199"/>
        <v>0</v>
      </c>
      <c r="S167" s="20">
        <f t="shared" si="200"/>
        <v>0</v>
      </c>
      <c r="T167" s="20">
        <f t="shared" si="208"/>
        <v>0</v>
      </c>
      <c r="U167" s="20">
        <f t="shared" si="209"/>
        <v>0</v>
      </c>
      <c r="V167" s="20" t="str">
        <f t="shared" si="201"/>
        <v/>
      </c>
      <c r="W167" s="20" t="str">
        <f t="shared" si="202"/>
        <v/>
      </c>
      <c r="X167" s="20" t="str">
        <f t="shared" si="210"/>
        <v/>
      </c>
      <c r="Y167">
        <f t="shared" si="211"/>
        <v>0</v>
      </c>
      <c r="Z167">
        <f t="shared" si="212"/>
        <v>0</v>
      </c>
      <c r="AA167" s="14" t="b">
        <f t="shared" si="203"/>
        <v>0</v>
      </c>
      <c r="AB167" s="28" t="str">
        <f t="shared" si="213"/>
        <v/>
      </c>
      <c r="AC167" s="20" t="str">
        <f t="shared" si="214"/>
        <v/>
      </c>
      <c r="AD167" s="20" t="str">
        <f t="shared" si="215"/>
        <v/>
      </c>
    </row>
    <row r="168" spans="1:30" ht="15" customHeight="1">
      <c r="A168" s="54"/>
      <c r="B168" s="60"/>
      <c r="C168" s="33" t="str">
        <f t="shared" ref="C168" si="262">IF(C167="Teks Uraian","",IF(OR(LEN(C167)&lt;1,LEN(D168)&lt;1),"","A"))</f>
        <v/>
      </c>
      <c r="D168" s="38"/>
      <c r="E168" s="44"/>
      <c r="F168" s="52"/>
      <c r="G168" s="57"/>
      <c r="H168" s="38"/>
      <c r="I168" s="38"/>
      <c r="J168" s="48"/>
      <c r="K168" s="49"/>
      <c r="M168" s="25">
        <f t="shared" si="205"/>
        <v>0</v>
      </c>
      <c r="N168" s="25" t="str">
        <f t="shared" si="224"/>
        <v/>
      </c>
      <c r="O168" s="26" t="str">
        <f t="shared" si="206"/>
        <v/>
      </c>
      <c r="P168" s="26">
        <f t="shared" si="207"/>
        <v>0</v>
      </c>
      <c r="Q168" s="20" t="s">
        <v>41</v>
      </c>
      <c r="R168" s="20">
        <f t="shared" si="199"/>
        <v>0</v>
      </c>
      <c r="S168" s="20">
        <f t="shared" si="200"/>
        <v>0</v>
      </c>
      <c r="T168" s="20">
        <f t="shared" si="208"/>
        <v>0</v>
      </c>
      <c r="U168" s="20">
        <f t="shared" si="209"/>
        <v>0</v>
      </c>
      <c r="V168" s="20" t="str">
        <f t="shared" si="201"/>
        <v/>
      </c>
      <c r="W168" s="20" t="str">
        <f t="shared" si="202"/>
        <v/>
      </c>
      <c r="X168" s="20" t="str">
        <f t="shared" si="210"/>
        <v/>
      </c>
      <c r="Y168">
        <f t="shared" si="211"/>
        <v>0</v>
      </c>
      <c r="Z168">
        <f t="shared" si="212"/>
        <v>0</v>
      </c>
      <c r="AA168" s="14" t="b">
        <f t="shared" si="203"/>
        <v>0</v>
      </c>
      <c r="AB168" s="28" t="str">
        <f t="shared" si="213"/>
        <v/>
      </c>
      <c r="AC168" s="20" t="str">
        <f t="shared" si="214"/>
        <v/>
      </c>
      <c r="AD168" s="20" t="str">
        <f t="shared" si="215"/>
        <v/>
      </c>
    </row>
    <row r="169" spans="1:30" ht="15" customHeight="1">
      <c r="A169" s="54"/>
      <c r="B169" s="60"/>
      <c r="C169" s="33" t="str">
        <f t="shared" ref="C169" si="263">IF(OR(LEN(C168)&lt;1,LEN(D168)&lt;1),"","B")</f>
        <v/>
      </c>
      <c r="D169" s="38"/>
      <c r="E169" s="44"/>
      <c r="F169" s="52"/>
      <c r="G169" s="57"/>
      <c r="H169" s="38"/>
      <c r="I169" s="38"/>
      <c r="J169" s="48"/>
      <c r="K169" s="49"/>
      <c r="M169" s="25">
        <f t="shared" si="205"/>
        <v>0</v>
      </c>
      <c r="N169" s="25" t="str">
        <f t="shared" si="224"/>
        <v/>
      </c>
      <c r="O169" s="26" t="str">
        <f t="shared" si="206"/>
        <v/>
      </c>
      <c r="P169" s="26">
        <f t="shared" si="207"/>
        <v>0</v>
      </c>
      <c r="Q169" s="20" t="s">
        <v>41</v>
      </c>
      <c r="R169" s="20">
        <f t="shared" si="199"/>
        <v>0</v>
      </c>
      <c r="S169" s="20">
        <f t="shared" si="200"/>
        <v>0</v>
      </c>
      <c r="T169" s="20">
        <f t="shared" si="208"/>
        <v>0</v>
      </c>
      <c r="U169" s="20">
        <f t="shared" si="209"/>
        <v>0</v>
      </c>
      <c r="V169" s="20" t="str">
        <f t="shared" si="201"/>
        <v/>
      </c>
      <c r="W169" s="20" t="str">
        <f t="shared" si="202"/>
        <v/>
      </c>
      <c r="X169" s="20" t="str">
        <f t="shared" si="210"/>
        <v/>
      </c>
      <c r="Y169">
        <f t="shared" si="211"/>
        <v>0</v>
      </c>
      <c r="Z169">
        <f t="shared" si="212"/>
        <v>0</v>
      </c>
      <c r="AA169" s="14" t="b">
        <f t="shared" si="203"/>
        <v>0</v>
      </c>
      <c r="AB169" s="28" t="str">
        <f t="shared" si="213"/>
        <v/>
      </c>
      <c r="AC169" s="20" t="str">
        <f t="shared" si="214"/>
        <v/>
      </c>
      <c r="AD169" s="20" t="str">
        <f t="shared" si="215"/>
        <v/>
      </c>
    </row>
    <row r="170" spans="1:30" ht="15" customHeight="1">
      <c r="A170" s="54"/>
      <c r="B170" s="60"/>
      <c r="C170" s="33" t="str">
        <f t="shared" ref="C170" si="264">IF(OR(LEN(C169)&lt;1,LEN(D170)&lt;1),"","C")</f>
        <v/>
      </c>
      <c r="D170" s="38"/>
      <c r="E170" s="42"/>
      <c r="F170" s="52"/>
      <c r="G170" s="57"/>
      <c r="H170" s="38"/>
      <c r="I170" s="38"/>
      <c r="J170" s="48"/>
      <c r="K170" s="49"/>
      <c r="M170" s="25">
        <f t="shared" si="205"/>
        <v>0</v>
      </c>
      <c r="N170" s="25" t="str">
        <f t="shared" si="224"/>
        <v/>
      </c>
      <c r="O170" s="26" t="str">
        <f t="shared" si="206"/>
        <v/>
      </c>
      <c r="P170" s="26">
        <f t="shared" si="207"/>
        <v>0</v>
      </c>
      <c r="Q170" s="20" t="s">
        <v>41</v>
      </c>
      <c r="R170" s="20">
        <f t="shared" si="199"/>
        <v>0</v>
      </c>
      <c r="S170" s="20">
        <f t="shared" si="200"/>
        <v>0</v>
      </c>
      <c r="T170" s="20">
        <f t="shared" si="208"/>
        <v>0</v>
      </c>
      <c r="U170" s="20">
        <f t="shared" si="209"/>
        <v>0</v>
      </c>
      <c r="V170" s="20" t="str">
        <f t="shared" si="201"/>
        <v/>
      </c>
      <c r="W170" s="20" t="str">
        <f t="shared" si="202"/>
        <v/>
      </c>
      <c r="X170" s="20" t="str">
        <f t="shared" si="210"/>
        <v/>
      </c>
      <c r="Y170">
        <f t="shared" si="211"/>
        <v>0</v>
      </c>
      <c r="Z170">
        <f t="shared" si="212"/>
        <v>0</v>
      </c>
      <c r="AA170" s="14" t="b">
        <f t="shared" si="203"/>
        <v>0</v>
      </c>
      <c r="AB170" s="28" t="str">
        <f t="shared" si="213"/>
        <v/>
      </c>
      <c r="AC170" s="20" t="str">
        <f t="shared" si="214"/>
        <v/>
      </c>
      <c r="AD170" s="20" t="str">
        <f t="shared" si="215"/>
        <v/>
      </c>
    </row>
    <row r="171" spans="1:30" ht="15" customHeight="1">
      <c r="A171" s="54"/>
      <c r="B171" s="60"/>
      <c r="C171" s="33" t="str">
        <f t="shared" ref="C171" si="265">IF(OR(LEN(C170)&lt;1,LEN(D171)&lt;1),"","D")</f>
        <v/>
      </c>
      <c r="D171" s="38"/>
      <c r="E171" s="44"/>
      <c r="F171" s="52"/>
      <c r="G171" s="57"/>
      <c r="H171" s="38"/>
      <c r="I171" s="38"/>
      <c r="J171" s="48"/>
      <c r="K171" s="49"/>
      <c r="M171" s="25">
        <f t="shared" si="205"/>
        <v>0</v>
      </c>
      <c r="N171" s="25" t="str">
        <f t="shared" si="224"/>
        <v/>
      </c>
      <c r="O171" s="26" t="str">
        <f t="shared" si="206"/>
        <v/>
      </c>
      <c r="P171" s="26">
        <f t="shared" si="207"/>
        <v>0</v>
      </c>
      <c r="Q171" s="20" t="s">
        <v>41</v>
      </c>
      <c r="R171" s="20">
        <f t="shared" si="199"/>
        <v>0</v>
      </c>
      <c r="S171" s="20">
        <f t="shared" si="200"/>
        <v>0</v>
      </c>
      <c r="T171" s="20">
        <f t="shared" si="208"/>
        <v>0</v>
      </c>
      <c r="U171" s="20">
        <f t="shared" si="209"/>
        <v>0</v>
      </c>
      <c r="V171" s="20" t="str">
        <f t="shared" si="201"/>
        <v/>
      </c>
      <c r="W171" s="20" t="str">
        <f t="shared" si="202"/>
        <v/>
      </c>
      <c r="X171" s="20" t="str">
        <f t="shared" si="210"/>
        <v/>
      </c>
      <c r="Y171">
        <f t="shared" si="211"/>
        <v>0</v>
      </c>
      <c r="Z171">
        <f t="shared" si="212"/>
        <v>0</v>
      </c>
      <c r="AA171" s="14" t="b">
        <f t="shared" si="203"/>
        <v>0</v>
      </c>
      <c r="AB171" s="28" t="str">
        <f t="shared" si="213"/>
        <v/>
      </c>
      <c r="AC171" s="20" t="str">
        <f t="shared" si="214"/>
        <v/>
      </c>
      <c r="AD171" s="20" t="str">
        <f t="shared" si="215"/>
        <v/>
      </c>
    </row>
    <row r="172" spans="1:30" ht="15.75" customHeight="1" thickBot="1">
      <c r="A172" s="55"/>
      <c r="B172" s="61"/>
      <c r="C172" s="36" t="str">
        <f t="shared" ref="C172" si="266">IF(OR(LEN(C171)&lt;1,LEN(D172)&lt;1),"","E")</f>
        <v/>
      </c>
      <c r="D172" s="39"/>
      <c r="E172" s="45"/>
      <c r="F172" s="53"/>
      <c r="G172" s="58"/>
      <c r="H172" s="39"/>
      <c r="I172" s="39"/>
      <c r="J172" s="39"/>
      <c r="K172" s="50"/>
      <c r="M172" s="25">
        <f t="shared" si="205"/>
        <v>0</v>
      </c>
      <c r="N172" s="25" t="str">
        <f t="shared" si="224"/>
        <v/>
      </c>
      <c r="O172" s="26" t="str">
        <f t="shared" si="206"/>
        <v/>
      </c>
      <c r="P172" s="26">
        <f t="shared" si="207"/>
        <v>0</v>
      </c>
      <c r="Q172" s="20" t="s">
        <v>41</v>
      </c>
      <c r="R172" s="20">
        <f t="shared" si="199"/>
        <v>0</v>
      </c>
      <c r="S172" s="20">
        <f t="shared" si="200"/>
        <v>0</v>
      </c>
      <c r="T172" s="20">
        <f t="shared" si="208"/>
        <v>0</v>
      </c>
      <c r="U172" s="20">
        <f t="shared" si="209"/>
        <v>0</v>
      </c>
      <c r="V172" s="20" t="str">
        <f t="shared" si="201"/>
        <v/>
      </c>
      <c r="W172" s="20" t="str">
        <f t="shared" si="202"/>
        <v/>
      </c>
      <c r="X172" s="20" t="str">
        <f t="shared" si="210"/>
        <v/>
      </c>
      <c r="Y172">
        <f t="shared" si="211"/>
        <v>0</v>
      </c>
      <c r="Z172">
        <f t="shared" si="212"/>
        <v>0</v>
      </c>
      <c r="AA172" s="14" t="b">
        <f t="shared" si="203"/>
        <v>0</v>
      </c>
      <c r="AB172" s="28" t="str">
        <f t="shared" si="213"/>
        <v/>
      </c>
      <c r="AC172" s="20" t="str">
        <f t="shared" si="214"/>
        <v/>
      </c>
      <c r="AD172" s="20" t="str">
        <f t="shared" si="215"/>
        <v/>
      </c>
    </row>
    <row r="173" spans="1:30" ht="15" customHeight="1">
      <c r="A173" s="54"/>
      <c r="B173" s="59" t="str">
        <f t="shared" ref="B173" si="267">IF(LEN(A173)&lt;1,"",IF(ISBLANK(B167),"",B167+1))</f>
        <v/>
      </c>
      <c r="C173" s="35" t="str">
        <f t="shared" ref="C173" si="268">IF(ISBLANK(A173),"",IF(A173="Uraian Panjang","Teks Uraian","Teks Soal"))</f>
        <v/>
      </c>
      <c r="D173" s="40"/>
      <c r="E173" s="41"/>
      <c r="F173" s="52" t="str">
        <f t="shared" ref="F173" si="269">IF(ISBLANK(A173),"",IF(A173="Pilihan Ganda","Centang salah satu jawaban disamping pada kolom KUNCI",IF(A173="Jawaban Jamak","Centang beberapa jawaban disamping pada kolom KUNCI",IF(A173="Uraian Panjang","Pastikan tidak ada jawaban yang tercentang pada kolom KUNCI",IF(A173="Esai Koreksi Otomatis","Kunci jawaban adalah teks opsi dan centang opsi tersebut pada kolom KUNCI","ISIKAN JODOHNYA PADA KOLOM KUNCI")))))</f>
        <v/>
      </c>
      <c r="G173" s="56" t="str">
        <f>IF(LEN(A173)&lt;1,"",IF(AA173=FALSE,"Ada kesalahan, mohon perhatikan kolom KETERANGAN",""))</f>
        <v/>
      </c>
      <c r="H173" s="40"/>
      <c r="I173" s="40"/>
      <c r="J173" s="46"/>
      <c r="K173" s="47"/>
      <c r="M173" s="25">
        <f t="shared" si="205"/>
        <v>0</v>
      </c>
      <c r="N173" s="25" t="str">
        <f t="shared" si="224"/>
        <v/>
      </c>
      <c r="O173" s="26" t="str">
        <f t="shared" si="206"/>
        <v/>
      </c>
      <c r="P173" s="26">
        <f t="shared" si="207"/>
        <v>0</v>
      </c>
      <c r="Q173" s="20" t="s">
        <v>41</v>
      </c>
      <c r="R173" s="20">
        <f t="shared" si="199"/>
        <v>0</v>
      </c>
      <c r="S173" s="20">
        <f t="shared" si="200"/>
        <v>0</v>
      </c>
      <c r="T173" s="20">
        <f t="shared" si="208"/>
        <v>0</v>
      </c>
      <c r="U173" s="20">
        <f t="shared" si="209"/>
        <v>0</v>
      </c>
      <c r="V173" s="20" t="str">
        <f t="shared" si="201"/>
        <v/>
      </c>
      <c r="W173" s="20" t="str">
        <f t="shared" si="202"/>
        <v/>
      </c>
      <c r="X173" s="20" t="str">
        <f t="shared" si="210"/>
        <v/>
      </c>
      <c r="Y173">
        <f t="shared" si="211"/>
        <v>0</v>
      </c>
      <c r="Z173">
        <f t="shared" si="212"/>
        <v>0</v>
      </c>
      <c r="AA173" s="14" t="b">
        <f t="shared" si="203"/>
        <v>0</v>
      </c>
      <c r="AB173" s="28" t="str">
        <f t="shared" si="213"/>
        <v/>
      </c>
      <c r="AC173" s="20" t="str">
        <f t="shared" si="214"/>
        <v/>
      </c>
      <c r="AD173" s="20" t="str">
        <f t="shared" si="215"/>
        <v/>
      </c>
    </row>
    <row r="174" spans="1:30" ht="15" customHeight="1">
      <c r="A174" s="54"/>
      <c r="B174" s="60"/>
      <c r="C174" s="33" t="str">
        <f t="shared" ref="C174" si="270">IF(C173="Teks Uraian","",IF(OR(LEN(C173)&lt;1,LEN(D174)&lt;1),"","A"))</f>
        <v/>
      </c>
      <c r="D174" s="38"/>
      <c r="E174" s="44"/>
      <c r="F174" s="52"/>
      <c r="G174" s="57"/>
      <c r="H174" s="38"/>
      <c r="I174" s="38"/>
      <c r="J174" s="48"/>
      <c r="K174" s="49"/>
      <c r="M174" s="25">
        <f t="shared" si="205"/>
        <v>0</v>
      </c>
      <c r="N174" s="25" t="str">
        <f t="shared" si="224"/>
        <v/>
      </c>
      <c r="O174" s="26" t="str">
        <f t="shared" si="206"/>
        <v/>
      </c>
      <c r="P174" s="26">
        <f t="shared" si="207"/>
        <v>0</v>
      </c>
      <c r="Q174" s="20" t="s">
        <v>41</v>
      </c>
      <c r="R174" s="20">
        <f t="shared" si="199"/>
        <v>0</v>
      </c>
      <c r="S174" s="20">
        <f t="shared" si="200"/>
        <v>0</v>
      </c>
      <c r="T174" s="20">
        <f t="shared" si="208"/>
        <v>0</v>
      </c>
      <c r="U174" s="20">
        <f t="shared" si="209"/>
        <v>0</v>
      </c>
      <c r="V174" s="20" t="str">
        <f t="shared" si="201"/>
        <v/>
      </c>
      <c r="W174" s="20" t="str">
        <f t="shared" si="202"/>
        <v/>
      </c>
      <c r="X174" s="20" t="str">
        <f t="shared" si="210"/>
        <v/>
      </c>
      <c r="Y174">
        <f t="shared" si="211"/>
        <v>0</v>
      </c>
      <c r="Z174">
        <f t="shared" si="212"/>
        <v>0</v>
      </c>
      <c r="AA174" s="14" t="b">
        <f t="shared" si="203"/>
        <v>0</v>
      </c>
      <c r="AB174" s="28" t="str">
        <f t="shared" si="213"/>
        <v/>
      </c>
      <c r="AC174" s="20" t="str">
        <f t="shared" si="214"/>
        <v/>
      </c>
      <c r="AD174" s="20" t="str">
        <f t="shared" si="215"/>
        <v/>
      </c>
    </row>
    <row r="175" spans="1:30" ht="15" customHeight="1">
      <c r="A175" s="54"/>
      <c r="B175" s="60"/>
      <c r="C175" s="33" t="str">
        <f t="shared" ref="C175" si="271">IF(OR(LEN(C174)&lt;1,LEN(D174)&lt;1),"","B")</f>
        <v/>
      </c>
      <c r="D175" s="38"/>
      <c r="E175" s="44"/>
      <c r="F175" s="52"/>
      <c r="G175" s="57"/>
      <c r="H175" s="38"/>
      <c r="I175" s="38"/>
      <c r="J175" s="48"/>
      <c r="K175" s="49"/>
      <c r="M175" s="25">
        <f t="shared" si="205"/>
        <v>0</v>
      </c>
      <c r="N175" s="25" t="str">
        <f t="shared" si="224"/>
        <v/>
      </c>
      <c r="O175" s="26" t="str">
        <f t="shared" si="206"/>
        <v/>
      </c>
      <c r="P175" s="26">
        <f t="shared" si="207"/>
        <v>0</v>
      </c>
      <c r="Q175" s="20" t="s">
        <v>41</v>
      </c>
      <c r="R175" s="20">
        <f t="shared" si="199"/>
        <v>0</v>
      </c>
      <c r="S175" s="20">
        <f t="shared" si="200"/>
        <v>0</v>
      </c>
      <c r="T175" s="20">
        <f t="shared" si="208"/>
        <v>0</v>
      </c>
      <c r="U175" s="20">
        <f t="shared" si="209"/>
        <v>0</v>
      </c>
      <c r="V175" s="20" t="str">
        <f t="shared" si="201"/>
        <v/>
      </c>
      <c r="W175" s="20" t="str">
        <f t="shared" si="202"/>
        <v/>
      </c>
      <c r="X175" s="20" t="str">
        <f t="shared" si="210"/>
        <v/>
      </c>
      <c r="Y175">
        <f t="shared" si="211"/>
        <v>0</v>
      </c>
      <c r="Z175">
        <f t="shared" si="212"/>
        <v>0</v>
      </c>
      <c r="AA175" s="14" t="b">
        <f t="shared" si="203"/>
        <v>0</v>
      </c>
      <c r="AB175" s="28" t="str">
        <f t="shared" si="213"/>
        <v/>
      </c>
      <c r="AC175" s="20" t="str">
        <f t="shared" si="214"/>
        <v/>
      </c>
      <c r="AD175" s="20" t="str">
        <f t="shared" si="215"/>
        <v/>
      </c>
    </row>
    <row r="176" spans="1:30" ht="15" customHeight="1">
      <c r="A176" s="54"/>
      <c r="B176" s="60"/>
      <c r="C176" s="33" t="str">
        <f t="shared" ref="C176" si="272">IF(OR(LEN(C175)&lt;1,LEN(D176)&lt;1),"","C")</f>
        <v/>
      </c>
      <c r="D176" s="38"/>
      <c r="E176" s="42"/>
      <c r="F176" s="52"/>
      <c r="G176" s="57"/>
      <c r="H176" s="38"/>
      <c r="I176" s="38"/>
      <c r="J176" s="48"/>
      <c r="K176" s="49"/>
      <c r="M176" s="25">
        <f t="shared" si="205"/>
        <v>0</v>
      </c>
      <c r="N176" s="25" t="str">
        <f t="shared" si="224"/>
        <v/>
      </c>
      <c r="O176" s="26" t="str">
        <f t="shared" si="206"/>
        <v/>
      </c>
      <c r="P176" s="26">
        <f t="shared" si="207"/>
        <v>0</v>
      </c>
      <c r="Q176" s="20" t="s">
        <v>41</v>
      </c>
      <c r="R176" s="20">
        <f t="shared" si="199"/>
        <v>0</v>
      </c>
      <c r="S176" s="20">
        <f t="shared" si="200"/>
        <v>0</v>
      </c>
      <c r="T176" s="20">
        <f t="shared" si="208"/>
        <v>0</v>
      </c>
      <c r="U176" s="20">
        <f t="shared" si="209"/>
        <v>0</v>
      </c>
      <c r="V176" s="20" t="str">
        <f t="shared" si="201"/>
        <v/>
      </c>
      <c r="W176" s="20" t="str">
        <f t="shared" si="202"/>
        <v/>
      </c>
      <c r="X176" s="20" t="str">
        <f t="shared" si="210"/>
        <v/>
      </c>
      <c r="Y176">
        <f t="shared" si="211"/>
        <v>0</v>
      </c>
      <c r="Z176">
        <f t="shared" si="212"/>
        <v>0</v>
      </c>
      <c r="AA176" s="14" t="b">
        <f t="shared" si="203"/>
        <v>0</v>
      </c>
      <c r="AB176" s="28" t="str">
        <f t="shared" si="213"/>
        <v/>
      </c>
      <c r="AC176" s="20" t="str">
        <f t="shared" si="214"/>
        <v/>
      </c>
      <c r="AD176" s="20" t="str">
        <f t="shared" si="215"/>
        <v/>
      </c>
    </row>
    <row r="177" spans="1:30" ht="15" customHeight="1">
      <c r="A177" s="54"/>
      <c r="B177" s="60"/>
      <c r="C177" s="33" t="str">
        <f t="shared" ref="C177" si="273">IF(OR(LEN(C176)&lt;1,LEN(D177)&lt;1),"","D")</f>
        <v/>
      </c>
      <c r="D177" s="38"/>
      <c r="E177" s="44"/>
      <c r="F177" s="52"/>
      <c r="G177" s="57"/>
      <c r="H177" s="38"/>
      <c r="I177" s="38"/>
      <c r="J177" s="48"/>
      <c r="K177" s="49"/>
      <c r="M177" s="25">
        <f t="shared" si="205"/>
        <v>0</v>
      </c>
      <c r="N177" s="25" t="str">
        <f t="shared" si="224"/>
        <v/>
      </c>
      <c r="O177" s="26" t="str">
        <f t="shared" si="206"/>
        <v/>
      </c>
      <c r="P177" s="26">
        <f t="shared" si="207"/>
        <v>0</v>
      </c>
      <c r="Q177" s="20" t="s">
        <v>41</v>
      </c>
      <c r="R177" s="20">
        <f t="shared" si="199"/>
        <v>0</v>
      </c>
      <c r="S177" s="20">
        <f t="shared" si="200"/>
        <v>0</v>
      </c>
      <c r="T177" s="20">
        <f t="shared" si="208"/>
        <v>0</v>
      </c>
      <c r="U177" s="20">
        <f t="shared" si="209"/>
        <v>0</v>
      </c>
      <c r="V177" s="20" t="str">
        <f t="shared" si="201"/>
        <v/>
      </c>
      <c r="W177" s="20" t="str">
        <f t="shared" si="202"/>
        <v/>
      </c>
      <c r="X177" s="20" t="str">
        <f t="shared" si="210"/>
        <v/>
      </c>
      <c r="Y177">
        <f t="shared" si="211"/>
        <v>0</v>
      </c>
      <c r="Z177">
        <f t="shared" si="212"/>
        <v>0</v>
      </c>
      <c r="AA177" s="14" t="b">
        <f t="shared" si="203"/>
        <v>0</v>
      </c>
      <c r="AB177" s="28" t="str">
        <f t="shared" si="213"/>
        <v/>
      </c>
      <c r="AC177" s="20" t="str">
        <f t="shared" si="214"/>
        <v/>
      </c>
      <c r="AD177" s="20" t="str">
        <f t="shared" si="215"/>
        <v/>
      </c>
    </row>
    <row r="178" spans="1:30" ht="15.75" customHeight="1" thickBot="1">
      <c r="A178" s="55"/>
      <c r="B178" s="61"/>
      <c r="C178" s="36" t="str">
        <f t="shared" ref="C178" si="274">IF(OR(LEN(C177)&lt;1,LEN(D178)&lt;1),"","E")</f>
        <v/>
      </c>
      <c r="D178" s="39"/>
      <c r="E178" s="45"/>
      <c r="F178" s="53"/>
      <c r="G178" s="58"/>
      <c r="H178" s="39"/>
      <c r="I178" s="39"/>
      <c r="J178" s="39"/>
      <c r="K178" s="50"/>
      <c r="M178" s="25">
        <f t="shared" si="205"/>
        <v>0</v>
      </c>
      <c r="N178" s="25" t="str">
        <f t="shared" si="224"/>
        <v/>
      </c>
      <c r="O178" s="26" t="str">
        <f t="shared" si="206"/>
        <v/>
      </c>
      <c r="P178" s="26">
        <f t="shared" si="207"/>
        <v>0</v>
      </c>
      <c r="Q178" s="20" t="s">
        <v>41</v>
      </c>
      <c r="R178" s="20">
        <f t="shared" si="199"/>
        <v>0</v>
      </c>
      <c r="S178" s="20">
        <f t="shared" si="200"/>
        <v>0</v>
      </c>
      <c r="T178" s="20">
        <f t="shared" si="208"/>
        <v>0</v>
      </c>
      <c r="U178" s="20">
        <f t="shared" si="209"/>
        <v>0</v>
      </c>
      <c r="V178" s="20" t="str">
        <f t="shared" si="201"/>
        <v/>
      </c>
      <c r="W178" s="20" t="str">
        <f t="shared" si="202"/>
        <v/>
      </c>
      <c r="X178" s="20" t="str">
        <f t="shared" si="210"/>
        <v/>
      </c>
      <c r="Y178">
        <f t="shared" si="211"/>
        <v>0</v>
      </c>
      <c r="Z178">
        <f t="shared" si="212"/>
        <v>0</v>
      </c>
      <c r="AA178" s="14" t="b">
        <f t="shared" si="203"/>
        <v>0</v>
      </c>
      <c r="AB178" s="28" t="str">
        <f t="shared" si="213"/>
        <v/>
      </c>
      <c r="AC178" s="20" t="str">
        <f t="shared" si="214"/>
        <v/>
      </c>
      <c r="AD178" s="20" t="str">
        <f t="shared" si="215"/>
        <v/>
      </c>
    </row>
    <row r="179" spans="1:30" ht="15" customHeight="1">
      <c r="A179" s="54"/>
      <c r="B179" s="59" t="str">
        <f t="shared" ref="B179" si="275">IF(LEN(A179)&lt;1,"",IF(ISBLANK(B173),"",B173+1))</f>
        <v/>
      </c>
      <c r="C179" s="35" t="str">
        <f t="shared" ref="C179" si="276">IF(ISBLANK(A179),"",IF(A179="Uraian Panjang","Teks Uraian","Teks Soal"))</f>
        <v/>
      </c>
      <c r="D179" s="40"/>
      <c r="E179" s="41"/>
      <c r="F179" s="52" t="str">
        <f t="shared" ref="F179" si="277">IF(ISBLANK(A179),"",IF(A179="Pilihan Ganda","Centang salah satu jawaban disamping pada kolom KUNCI",IF(A179="Jawaban Jamak","Centang beberapa jawaban disamping pada kolom KUNCI",IF(A179="Uraian Panjang","Pastikan tidak ada jawaban yang tercentang pada kolom KUNCI",IF(A179="Esai Koreksi Otomatis","Kunci jawaban adalah teks opsi dan centang opsi tersebut pada kolom KUNCI","ISIKAN JODOHNYA PADA KOLOM KUNCI")))))</f>
        <v/>
      </c>
      <c r="G179" s="56" t="str">
        <f>IF(LEN(A179)&lt;1,"",IF(AA179=FALSE,"Ada kesalahan, mohon perhatikan kolom KETERANGAN",""))</f>
        <v/>
      </c>
      <c r="H179" s="40"/>
      <c r="I179" s="40"/>
      <c r="J179" s="46"/>
      <c r="K179" s="47"/>
      <c r="M179" s="25">
        <f t="shared" si="205"/>
        <v>0</v>
      </c>
      <c r="N179" s="25" t="str">
        <f t="shared" si="224"/>
        <v/>
      </c>
      <c r="O179" s="26" t="str">
        <f t="shared" si="206"/>
        <v/>
      </c>
      <c r="P179" s="26">
        <f t="shared" si="207"/>
        <v>0</v>
      </c>
      <c r="Q179" s="20" t="s">
        <v>41</v>
      </c>
      <c r="R179" s="20">
        <f t="shared" si="199"/>
        <v>0</v>
      </c>
      <c r="S179" s="20">
        <f t="shared" si="200"/>
        <v>0</v>
      </c>
      <c r="T179" s="20">
        <f t="shared" si="208"/>
        <v>0</v>
      </c>
      <c r="U179" s="20">
        <f t="shared" si="209"/>
        <v>0</v>
      </c>
      <c r="V179" s="20" t="str">
        <f t="shared" si="201"/>
        <v/>
      </c>
      <c r="W179" s="20" t="str">
        <f t="shared" si="202"/>
        <v/>
      </c>
      <c r="X179" s="20" t="str">
        <f t="shared" si="210"/>
        <v/>
      </c>
      <c r="Y179">
        <f t="shared" si="211"/>
        <v>0</v>
      </c>
      <c r="Z179">
        <f t="shared" si="212"/>
        <v>0</v>
      </c>
      <c r="AA179" s="14" t="b">
        <f t="shared" si="203"/>
        <v>0</v>
      </c>
      <c r="AB179" s="28" t="str">
        <f t="shared" si="213"/>
        <v/>
      </c>
      <c r="AC179" s="20" t="str">
        <f t="shared" si="214"/>
        <v/>
      </c>
      <c r="AD179" s="20" t="str">
        <f t="shared" si="215"/>
        <v/>
      </c>
    </row>
    <row r="180" spans="1:30" ht="15" customHeight="1">
      <c r="A180" s="54"/>
      <c r="B180" s="60"/>
      <c r="C180" s="33" t="str">
        <f t="shared" ref="C180" si="278">IF(C179="Teks Uraian","",IF(OR(LEN(C179)&lt;1,LEN(D180)&lt;1),"","A"))</f>
        <v/>
      </c>
      <c r="D180" s="38"/>
      <c r="E180" s="44"/>
      <c r="F180" s="52"/>
      <c r="G180" s="57"/>
      <c r="H180" s="38"/>
      <c r="I180" s="38"/>
      <c r="J180" s="48"/>
      <c r="K180" s="49"/>
      <c r="M180" s="25">
        <f t="shared" si="205"/>
        <v>0</v>
      </c>
      <c r="N180" s="25" t="str">
        <f t="shared" si="224"/>
        <v/>
      </c>
      <c r="O180" s="26" t="str">
        <f t="shared" si="206"/>
        <v/>
      </c>
      <c r="P180" s="26">
        <f t="shared" si="207"/>
        <v>0</v>
      </c>
      <c r="Q180" s="20" t="s">
        <v>41</v>
      </c>
      <c r="R180" s="20">
        <f t="shared" si="199"/>
        <v>0</v>
      </c>
      <c r="S180" s="20">
        <f t="shared" si="200"/>
        <v>0</v>
      </c>
      <c r="T180" s="20">
        <f t="shared" si="208"/>
        <v>0</v>
      </c>
      <c r="U180" s="20">
        <f t="shared" si="209"/>
        <v>0</v>
      </c>
      <c r="V180" s="20" t="str">
        <f t="shared" si="201"/>
        <v/>
      </c>
      <c r="W180" s="20" t="str">
        <f t="shared" si="202"/>
        <v/>
      </c>
      <c r="X180" s="20" t="str">
        <f t="shared" si="210"/>
        <v/>
      </c>
      <c r="Y180">
        <f t="shared" si="211"/>
        <v>0</v>
      </c>
      <c r="Z180">
        <f t="shared" si="212"/>
        <v>0</v>
      </c>
      <c r="AA180" s="14" t="b">
        <f t="shared" si="203"/>
        <v>0</v>
      </c>
      <c r="AB180" s="28" t="str">
        <f t="shared" si="213"/>
        <v/>
      </c>
      <c r="AC180" s="20" t="str">
        <f t="shared" si="214"/>
        <v/>
      </c>
      <c r="AD180" s="20" t="str">
        <f t="shared" si="215"/>
        <v/>
      </c>
    </row>
    <row r="181" spans="1:30" ht="15" customHeight="1">
      <c r="A181" s="54"/>
      <c r="B181" s="60"/>
      <c r="C181" s="33" t="str">
        <f t="shared" ref="C181" si="279">IF(OR(LEN(C180)&lt;1,LEN(D180)&lt;1),"","B")</f>
        <v/>
      </c>
      <c r="D181" s="38"/>
      <c r="E181" s="44"/>
      <c r="F181" s="52"/>
      <c r="G181" s="57"/>
      <c r="H181" s="38"/>
      <c r="I181" s="38"/>
      <c r="J181" s="48"/>
      <c r="K181" s="49"/>
      <c r="M181" s="25">
        <f t="shared" si="205"/>
        <v>0</v>
      </c>
      <c r="N181" s="25" t="str">
        <f t="shared" si="224"/>
        <v/>
      </c>
      <c r="O181" s="26" t="str">
        <f t="shared" si="206"/>
        <v/>
      </c>
      <c r="P181" s="26">
        <f t="shared" si="207"/>
        <v>0</v>
      </c>
      <c r="Q181" s="20" t="s">
        <v>41</v>
      </c>
      <c r="R181" s="20">
        <f t="shared" si="199"/>
        <v>0</v>
      </c>
      <c r="S181" s="20">
        <f t="shared" si="200"/>
        <v>0</v>
      </c>
      <c r="T181" s="20">
        <f t="shared" si="208"/>
        <v>0</v>
      </c>
      <c r="U181" s="20">
        <f t="shared" si="209"/>
        <v>0</v>
      </c>
      <c r="V181" s="20" t="str">
        <f t="shared" si="201"/>
        <v/>
      </c>
      <c r="W181" s="20" t="str">
        <f t="shared" si="202"/>
        <v/>
      </c>
      <c r="X181" s="20" t="str">
        <f t="shared" si="210"/>
        <v/>
      </c>
      <c r="Y181">
        <f t="shared" si="211"/>
        <v>0</v>
      </c>
      <c r="Z181">
        <f t="shared" si="212"/>
        <v>0</v>
      </c>
      <c r="AA181" s="14" t="b">
        <f t="shared" si="203"/>
        <v>0</v>
      </c>
      <c r="AB181" s="28" t="str">
        <f t="shared" si="213"/>
        <v/>
      </c>
      <c r="AC181" s="20" t="str">
        <f t="shared" si="214"/>
        <v/>
      </c>
      <c r="AD181" s="20" t="str">
        <f t="shared" si="215"/>
        <v/>
      </c>
    </row>
    <row r="182" spans="1:30" ht="15" customHeight="1">
      <c r="A182" s="54"/>
      <c r="B182" s="60"/>
      <c r="C182" s="33" t="str">
        <f t="shared" ref="C182" si="280">IF(OR(LEN(C181)&lt;1,LEN(D182)&lt;1),"","C")</f>
        <v/>
      </c>
      <c r="D182" s="38"/>
      <c r="E182" s="42"/>
      <c r="F182" s="52"/>
      <c r="G182" s="57"/>
      <c r="H182" s="38"/>
      <c r="I182" s="38"/>
      <c r="J182" s="48"/>
      <c r="K182" s="49"/>
      <c r="M182" s="25">
        <f t="shared" si="205"/>
        <v>0</v>
      </c>
      <c r="N182" s="25" t="str">
        <f t="shared" si="224"/>
        <v/>
      </c>
      <c r="O182" s="26" t="str">
        <f t="shared" si="206"/>
        <v/>
      </c>
      <c r="P182" s="26">
        <f t="shared" si="207"/>
        <v>0</v>
      </c>
      <c r="Q182" s="20" t="s">
        <v>41</v>
      </c>
      <c r="R182" s="20">
        <f t="shared" si="199"/>
        <v>0</v>
      </c>
      <c r="S182" s="20">
        <f t="shared" si="200"/>
        <v>0</v>
      </c>
      <c r="T182" s="20">
        <f t="shared" si="208"/>
        <v>0</v>
      </c>
      <c r="U182" s="20">
        <f t="shared" si="209"/>
        <v>0</v>
      </c>
      <c r="V182" s="20" t="str">
        <f t="shared" si="201"/>
        <v/>
      </c>
      <c r="W182" s="20" t="str">
        <f t="shared" si="202"/>
        <v/>
      </c>
      <c r="X182" s="20" t="str">
        <f t="shared" si="210"/>
        <v/>
      </c>
      <c r="Y182">
        <f t="shared" si="211"/>
        <v>0</v>
      </c>
      <c r="Z182">
        <f t="shared" si="212"/>
        <v>0</v>
      </c>
      <c r="AA182" s="14" t="b">
        <f t="shared" si="203"/>
        <v>0</v>
      </c>
      <c r="AB182" s="28" t="str">
        <f t="shared" si="213"/>
        <v/>
      </c>
      <c r="AC182" s="20" t="str">
        <f t="shared" si="214"/>
        <v/>
      </c>
      <c r="AD182" s="20" t="str">
        <f t="shared" si="215"/>
        <v/>
      </c>
    </row>
    <row r="183" spans="1:30" ht="15" customHeight="1">
      <c r="A183" s="54"/>
      <c r="B183" s="60"/>
      <c r="C183" s="33" t="str">
        <f t="shared" ref="C183" si="281">IF(OR(LEN(C182)&lt;1,LEN(D183)&lt;1),"","D")</f>
        <v/>
      </c>
      <c r="D183" s="38"/>
      <c r="E183" s="44"/>
      <c r="F183" s="52"/>
      <c r="G183" s="57"/>
      <c r="H183" s="38"/>
      <c r="I183" s="38"/>
      <c r="J183" s="48"/>
      <c r="K183" s="49"/>
      <c r="M183" s="25">
        <f t="shared" si="205"/>
        <v>0</v>
      </c>
      <c r="N183" s="25" t="str">
        <f t="shared" si="224"/>
        <v/>
      </c>
      <c r="O183" s="26" t="str">
        <f t="shared" si="206"/>
        <v/>
      </c>
      <c r="P183" s="26">
        <f t="shared" si="207"/>
        <v>0</v>
      </c>
      <c r="Q183" s="20" t="s">
        <v>41</v>
      </c>
      <c r="R183" s="20">
        <f t="shared" si="199"/>
        <v>0</v>
      </c>
      <c r="S183" s="20">
        <f t="shared" si="200"/>
        <v>0</v>
      </c>
      <c r="T183" s="20">
        <f t="shared" si="208"/>
        <v>0</v>
      </c>
      <c r="U183" s="20">
        <f t="shared" si="209"/>
        <v>0</v>
      </c>
      <c r="V183" s="20" t="str">
        <f t="shared" si="201"/>
        <v/>
      </c>
      <c r="W183" s="20" t="str">
        <f t="shared" si="202"/>
        <v/>
      </c>
      <c r="X183" s="20" t="str">
        <f t="shared" si="210"/>
        <v/>
      </c>
      <c r="Y183">
        <f t="shared" si="211"/>
        <v>0</v>
      </c>
      <c r="Z183">
        <f t="shared" si="212"/>
        <v>0</v>
      </c>
      <c r="AA183" s="14" t="b">
        <f t="shared" si="203"/>
        <v>0</v>
      </c>
      <c r="AB183" s="28" t="str">
        <f t="shared" si="213"/>
        <v/>
      </c>
      <c r="AC183" s="20" t="str">
        <f t="shared" si="214"/>
        <v/>
      </c>
      <c r="AD183" s="20" t="str">
        <f t="shared" si="215"/>
        <v/>
      </c>
    </row>
    <row r="184" spans="1:30" ht="15.75" customHeight="1" thickBot="1">
      <c r="A184" s="55"/>
      <c r="B184" s="61"/>
      <c r="C184" s="36" t="str">
        <f t="shared" ref="C184" si="282">IF(OR(LEN(C183)&lt;1,LEN(D184)&lt;1),"","E")</f>
        <v/>
      </c>
      <c r="D184" s="39"/>
      <c r="E184" s="45"/>
      <c r="F184" s="53"/>
      <c r="G184" s="58"/>
      <c r="H184" s="39"/>
      <c r="I184" s="39"/>
      <c r="J184" s="39"/>
      <c r="K184" s="50"/>
      <c r="M184" s="25">
        <f t="shared" si="205"/>
        <v>0</v>
      </c>
      <c r="N184" s="25" t="str">
        <f t="shared" si="224"/>
        <v/>
      </c>
      <c r="O184" s="26" t="str">
        <f t="shared" si="206"/>
        <v/>
      </c>
      <c r="P184" s="26">
        <f t="shared" si="207"/>
        <v>0</v>
      </c>
      <c r="Q184" s="20" t="s">
        <v>41</v>
      </c>
      <c r="R184" s="20">
        <f t="shared" si="199"/>
        <v>0</v>
      </c>
      <c r="S184" s="20">
        <f t="shared" si="200"/>
        <v>0</v>
      </c>
      <c r="T184" s="20">
        <f t="shared" si="208"/>
        <v>0</v>
      </c>
      <c r="U184" s="20">
        <f t="shared" si="209"/>
        <v>0</v>
      </c>
      <c r="V184" s="20" t="str">
        <f t="shared" si="201"/>
        <v/>
      </c>
      <c r="W184" s="20" t="str">
        <f t="shared" si="202"/>
        <v/>
      </c>
      <c r="X184" s="20" t="str">
        <f t="shared" si="210"/>
        <v/>
      </c>
      <c r="Y184">
        <f t="shared" si="211"/>
        <v>0</v>
      </c>
      <c r="Z184">
        <f t="shared" si="212"/>
        <v>0</v>
      </c>
      <c r="AA184" s="14" t="b">
        <f t="shared" si="203"/>
        <v>0</v>
      </c>
      <c r="AB184" s="28" t="str">
        <f t="shared" si="213"/>
        <v/>
      </c>
      <c r="AC184" s="20" t="str">
        <f t="shared" si="214"/>
        <v/>
      </c>
      <c r="AD184" s="20" t="str">
        <f t="shared" si="215"/>
        <v/>
      </c>
    </row>
    <row r="185" spans="1:30" ht="15" customHeight="1">
      <c r="A185" s="54"/>
      <c r="B185" s="59" t="str">
        <f t="shared" ref="B185" si="283">IF(LEN(A185)&lt;1,"",IF(ISBLANK(B179),"",B179+1))</f>
        <v/>
      </c>
      <c r="C185" s="35" t="str">
        <f t="shared" ref="C185" si="284">IF(ISBLANK(A185),"",IF(A185="Uraian Panjang","Teks Uraian","Teks Soal"))</f>
        <v/>
      </c>
      <c r="D185" s="40"/>
      <c r="E185" s="41"/>
      <c r="F185" s="52" t="str">
        <f t="shared" ref="F185" si="285">IF(ISBLANK(A185),"",IF(A185="Pilihan Ganda","Centang salah satu jawaban disamping pada kolom KUNCI",IF(A185="Jawaban Jamak","Centang beberapa jawaban disamping pada kolom KUNCI",IF(A185="Uraian Panjang","Pastikan tidak ada jawaban yang tercentang pada kolom KUNCI",IF(A185="Esai Koreksi Otomatis","Kunci jawaban adalah teks opsi dan centang opsi tersebut pada kolom KUNCI","ISIKAN JODOHNYA PADA KOLOM KUNCI")))))</f>
        <v/>
      </c>
      <c r="G185" s="56" t="str">
        <f>IF(LEN(A185)&lt;1,"",IF(AA185=FALSE,"Ada kesalahan, mohon perhatikan kolom KETERANGAN",""))</f>
        <v/>
      </c>
      <c r="H185" s="40"/>
      <c r="I185" s="40"/>
      <c r="J185" s="46"/>
      <c r="K185" s="47"/>
      <c r="M185" s="25">
        <f t="shared" si="205"/>
        <v>0</v>
      </c>
      <c r="N185" s="25" t="str">
        <f t="shared" si="224"/>
        <v/>
      </c>
      <c r="O185" s="26" t="str">
        <f t="shared" si="206"/>
        <v/>
      </c>
      <c r="P185" s="26">
        <f t="shared" si="207"/>
        <v>0</v>
      </c>
      <c r="Q185" s="20" t="s">
        <v>41</v>
      </c>
      <c r="R185" s="20">
        <f t="shared" si="199"/>
        <v>0</v>
      </c>
      <c r="S185" s="20">
        <f t="shared" si="200"/>
        <v>0</v>
      </c>
      <c r="T185" s="20">
        <f t="shared" si="208"/>
        <v>0</v>
      </c>
      <c r="U185" s="20">
        <f t="shared" si="209"/>
        <v>0</v>
      </c>
      <c r="V185" s="20" t="str">
        <f t="shared" si="201"/>
        <v/>
      </c>
      <c r="W185" s="20" t="str">
        <f t="shared" si="202"/>
        <v/>
      </c>
      <c r="X185" s="20" t="str">
        <f t="shared" si="210"/>
        <v/>
      </c>
      <c r="Y185">
        <f t="shared" si="211"/>
        <v>0</v>
      </c>
      <c r="Z185">
        <f t="shared" si="212"/>
        <v>0</v>
      </c>
      <c r="AA185" s="14" t="b">
        <f t="shared" si="203"/>
        <v>0</v>
      </c>
      <c r="AB185" s="28" t="str">
        <f t="shared" si="213"/>
        <v/>
      </c>
      <c r="AC185" s="20" t="str">
        <f t="shared" si="214"/>
        <v/>
      </c>
      <c r="AD185" s="20" t="str">
        <f t="shared" si="215"/>
        <v/>
      </c>
    </row>
    <row r="186" spans="1:30" ht="15" customHeight="1">
      <c r="A186" s="54"/>
      <c r="B186" s="60"/>
      <c r="C186" s="33" t="str">
        <f t="shared" ref="C186" si="286">IF(C185="Teks Uraian","",IF(OR(LEN(C185)&lt;1,LEN(D186)&lt;1),"","A"))</f>
        <v/>
      </c>
      <c r="D186" s="38"/>
      <c r="E186" s="44"/>
      <c r="F186" s="52"/>
      <c r="G186" s="57"/>
      <c r="H186" s="38"/>
      <c r="I186" s="38"/>
      <c r="J186" s="48"/>
      <c r="K186" s="49"/>
      <c r="M186" s="25">
        <f t="shared" si="205"/>
        <v>0</v>
      </c>
      <c r="N186" s="25" t="str">
        <f t="shared" si="224"/>
        <v/>
      </c>
      <c r="O186" s="26" t="str">
        <f t="shared" si="206"/>
        <v/>
      </c>
      <c r="P186" s="26">
        <f t="shared" si="207"/>
        <v>0</v>
      </c>
      <c r="Q186" s="20" t="s">
        <v>41</v>
      </c>
      <c r="R186" s="20">
        <f t="shared" si="199"/>
        <v>0</v>
      </c>
      <c r="S186" s="20">
        <f t="shared" si="200"/>
        <v>0</v>
      </c>
      <c r="T186" s="20">
        <f t="shared" si="208"/>
        <v>0</v>
      </c>
      <c r="U186" s="20">
        <f t="shared" si="209"/>
        <v>0</v>
      </c>
      <c r="V186" s="20" t="str">
        <f t="shared" si="201"/>
        <v/>
      </c>
      <c r="W186" s="20" t="str">
        <f t="shared" si="202"/>
        <v/>
      </c>
      <c r="X186" s="20" t="str">
        <f t="shared" si="210"/>
        <v/>
      </c>
      <c r="Y186">
        <f t="shared" si="211"/>
        <v>0</v>
      </c>
      <c r="Z186">
        <f t="shared" si="212"/>
        <v>0</v>
      </c>
      <c r="AA186" s="14" t="b">
        <f t="shared" si="203"/>
        <v>0</v>
      </c>
      <c r="AB186" s="28" t="str">
        <f t="shared" si="213"/>
        <v/>
      </c>
      <c r="AC186" s="20" t="str">
        <f t="shared" si="214"/>
        <v/>
      </c>
      <c r="AD186" s="20" t="str">
        <f t="shared" si="215"/>
        <v/>
      </c>
    </row>
    <row r="187" spans="1:30" ht="15" customHeight="1">
      <c r="A187" s="54"/>
      <c r="B187" s="60"/>
      <c r="C187" s="33" t="str">
        <f t="shared" ref="C187" si="287">IF(OR(LEN(C186)&lt;1,LEN(D186)&lt;1),"","B")</f>
        <v/>
      </c>
      <c r="D187" s="38"/>
      <c r="E187" s="44"/>
      <c r="F187" s="52"/>
      <c r="G187" s="57"/>
      <c r="H187" s="38"/>
      <c r="I187" s="38"/>
      <c r="J187" s="48"/>
      <c r="K187" s="49"/>
      <c r="M187" s="25">
        <f t="shared" si="205"/>
        <v>0</v>
      </c>
      <c r="N187" s="25" t="str">
        <f t="shared" si="224"/>
        <v/>
      </c>
      <c r="O187" s="26" t="str">
        <f t="shared" si="206"/>
        <v/>
      </c>
      <c r="P187" s="26">
        <f t="shared" si="207"/>
        <v>0</v>
      </c>
      <c r="Q187" s="20" t="s">
        <v>41</v>
      </c>
      <c r="R187" s="20">
        <f t="shared" si="199"/>
        <v>0</v>
      </c>
      <c r="S187" s="20">
        <f t="shared" si="200"/>
        <v>0</v>
      </c>
      <c r="T187" s="20">
        <f t="shared" si="208"/>
        <v>0</v>
      </c>
      <c r="U187" s="20">
        <f t="shared" si="209"/>
        <v>0</v>
      </c>
      <c r="V187" s="20" t="str">
        <f t="shared" si="201"/>
        <v/>
      </c>
      <c r="W187" s="20" t="str">
        <f t="shared" si="202"/>
        <v/>
      </c>
      <c r="X187" s="20" t="str">
        <f t="shared" si="210"/>
        <v/>
      </c>
      <c r="Y187">
        <f t="shared" si="211"/>
        <v>0</v>
      </c>
      <c r="Z187">
        <f t="shared" si="212"/>
        <v>0</v>
      </c>
      <c r="AA187" s="14" t="b">
        <f t="shared" si="203"/>
        <v>0</v>
      </c>
      <c r="AB187" s="28" t="str">
        <f t="shared" si="213"/>
        <v/>
      </c>
      <c r="AC187" s="20" t="str">
        <f t="shared" si="214"/>
        <v/>
      </c>
      <c r="AD187" s="20" t="str">
        <f t="shared" si="215"/>
        <v/>
      </c>
    </row>
    <row r="188" spans="1:30" ht="15" customHeight="1">
      <c r="A188" s="54"/>
      <c r="B188" s="60"/>
      <c r="C188" s="33" t="str">
        <f t="shared" ref="C188" si="288">IF(OR(LEN(C187)&lt;1,LEN(D188)&lt;1),"","C")</f>
        <v/>
      </c>
      <c r="D188" s="38"/>
      <c r="E188" s="42"/>
      <c r="F188" s="52"/>
      <c r="G188" s="57"/>
      <c r="H188" s="38"/>
      <c r="I188" s="38"/>
      <c r="J188" s="48"/>
      <c r="K188" s="49"/>
      <c r="M188" s="25">
        <f t="shared" si="205"/>
        <v>0</v>
      </c>
      <c r="N188" s="25" t="str">
        <f t="shared" si="224"/>
        <v/>
      </c>
      <c r="O188" s="26" t="str">
        <f t="shared" si="206"/>
        <v/>
      </c>
      <c r="P188" s="26">
        <f t="shared" si="207"/>
        <v>0</v>
      </c>
      <c r="Q188" s="20" t="s">
        <v>41</v>
      </c>
      <c r="R188" s="20">
        <f t="shared" si="199"/>
        <v>0</v>
      </c>
      <c r="S188" s="20">
        <f t="shared" si="200"/>
        <v>0</v>
      </c>
      <c r="T188" s="20">
        <f t="shared" si="208"/>
        <v>0</v>
      </c>
      <c r="U188" s="20">
        <f t="shared" si="209"/>
        <v>0</v>
      </c>
      <c r="V188" s="20" t="str">
        <f t="shared" si="201"/>
        <v/>
      </c>
      <c r="W188" s="20" t="str">
        <f t="shared" si="202"/>
        <v/>
      </c>
      <c r="X188" s="20" t="str">
        <f t="shared" si="210"/>
        <v/>
      </c>
      <c r="Y188">
        <f t="shared" si="211"/>
        <v>0</v>
      </c>
      <c r="Z188">
        <f t="shared" si="212"/>
        <v>0</v>
      </c>
      <c r="AA188" s="14" t="b">
        <f t="shared" si="203"/>
        <v>0</v>
      </c>
      <c r="AB188" s="28" t="str">
        <f t="shared" si="213"/>
        <v/>
      </c>
      <c r="AC188" s="20" t="str">
        <f t="shared" si="214"/>
        <v/>
      </c>
      <c r="AD188" s="20" t="str">
        <f t="shared" si="215"/>
        <v/>
      </c>
    </row>
    <row r="189" spans="1:30" ht="15" customHeight="1">
      <c r="A189" s="54"/>
      <c r="B189" s="60"/>
      <c r="C189" s="33" t="str">
        <f t="shared" ref="C189" si="289">IF(OR(LEN(C188)&lt;1,LEN(D189)&lt;1),"","D")</f>
        <v/>
      </c>
      <c r="D189" s="38"/>
      <c r="E189" s="44"/>
      <c r="F189" s="52"/>
      <c r="G189" s="57"/>
      <c r="H189" s="38"/>
      <c r="I189" s="38"/>
      <c r="J189" s="48"/>
      <c r="K189" s="49"/>
      <c r="M189" s="25">
        <f t="shared" si="205"/>
        <v>0</v>
      </c>
      <c r="N189" s="25" t="str">
        <f t="shared" si="224"/>
        <v/>
      </c>
      <c r="O189" s="26" t="str">
        <f t="shared" si="206"/>
        <v/>
      </c>
      <c r="P189" s="26">
        <f t="shared" si="207"/>
        <v>0</v>
      </c>
      <c r="Q189" s="20" t="s">
        <v>41</v>
      </c>
      <c r="R189" s="20">
        <f t="shared" si="199"/>
        <v>0</v>
      </c>
      <c r="S189" s="20">
        <f t="shared" si="200"/>
        <v>0</v>
      </c>
      <c r="T189" s="20">
        <f t="shared" si="208"/>
        <v>0</v>
      </c>
      <c r="U189" s="20">
        <f t="shared" si="209"/>
        <v>0</v>
      </c>
      <c r="V189" s="20" t="str">
        <f t="shared" si="201"/>
        <v/>
      </c>
      <c r="W189" s="20" t="str">
        <f t="shared" si="202"/>
        <v/>
      </c>
      <c r="X189" s="20" t="str">
        <f t="shared" si="210"/>
        <v/>
      </c>
      <c r="Y189">
        <f t="shared" si="211"/>
        <v>0</v>
      </c>
      <c r="Z189">
        <f t="shared" si="212"/>
        <v>0</v>
      </c>
      <c r="AA189" s="14" t="b">
        <f t="shared" si="203"/>
        <v>0</v>
      </c>
      <c r="AB189" s="28" t="str">
        <f t="shared" si="213"/>
        <v/>
      </c>
      <c r="AC189" s="20" t="str">
        <f t="shared" si="214"/>
        <v/>
      </c>
      <c r="AD189" s="20" t="str">
        <f t="shared" si="215"/>
        <v/>
      </c>
    </row>
    <row r="190" spans="1:30" ht="15.75" customHeight="1" thickBot="1">
      <c r="A190" s="55"/>
      <c r="B190" s="61"/>
      <c r="C190" s="36" t="str">
        <f t="shared" ref="C190" si="290">IF(OR(LEN(C189)&lt;1,LEN(D190)&lt;1),"","E")</f>
        <v/>
      </c>
      <c r="D190" s="39"/>
      <c r="E190" s="45"/>
      <c r="F190" s="53"/>
      <c r="G190" s="58"/>
      <c r="H190" s="39"/>
      <c r="I190" s="39"/>
      <c r="J190" s="39"/>
      <c r="K190" s="50"/>
      <c r="M190" s="25">
        <f t="shared" si="205"/>
        <v>0</v>
      </c>
      <c r="N190" s="25" t="str">
        <f t="shared" si="224"/>
        <v/>
      </c>
      <c r="O190" s="26" t="str">
        <f t="shared" si="206"/>
        <v/>
      </c>
      <c r="P190" s="26">
        <f t="shared" si="207"/>
        <v>0</v>
      </c>
      <c r="Q190" s="20" t="s">
        <v>41</v>
      </c>
      <c r="R190" s="20">
        <f t="shared" si="199"/>
        <v>0</v>
      </c>
      <c r="S190" s="20">
        <f t="shared" si="200"/>
        <v>0</v>
      </c>
      <c r="T190" s="20">
        <f t="shared" si="208"/>
        <v>0</v>
      </c>
      <c r="U190" s="20">
        <f t="shared" si="209"/>
        <v>0</v>
      </c>
      <c r="V190" s="20" t="str">
        <f t="shared" si="201"/>
        <v/>
      </c>
      <c r="W190" s="20" t="str">
        <f t="shared" si="202"/>
        <v/>
      </c>
      <c r="X190" s="20" t="str">
        <f t="shared" si="210"/>
        <v/>
      </c>
      <c r="Y190">
        <f t="shared" si="211"/>
        <v>0</v>
      </c>
      <c r="Z190">
        <f t="shared" si="212"/>
        <v>0</v>
      </c>
      <c r="AA190" s="14" t="b">
        <f t="shared" si="203"/>
        <v>0</v>
      </c>
      <c r="AB190" s="28" t="str">
        <f t="shared" si="213"/>
        <v/>
      </c>
      <c r="AC190" s="20" t="str">
        <f t="shared" si="214"/>
        <v/>
      </c>
      <c r="AD190" s="20" t="str">
        <f t="shared" si="215"/>
        <v/>
      </c>
    </row>
    <row r="191" spans="1:30" ht="15" customHeight="1">
      <c r="A191" s="54"/>
      <c r="B191" s="59" t="str">
        <f t="shared" ref="B191" si="291">IF(LEN(A191)&lt;1,"",IF(ISBLANK(B185),"",B185+1))</f>
        <v/>
      </c>
      <c r="C191" s="35" t="str">
        <f t="shared" ref="C191" si="292">IF(ISBLANK(A191),"",IF(A191="Uraian Panjang","Teks Uraian","Teks Soal"))</f>
        <v/>
      </c>
      <c r="D191" s="40"/>
      <c r="E191" s="41"/>
      <c r="F191" s="52" t="str">
        <f t="shared" ref="F191" si="293">IF(ISBLANK(A191),"",IF(A191="Pilihan Ganda","Centang salah satu jawaban disamping pada kolom KUNCI",IF(A191="Jawaban Jamak","Centang beberapa jawaban disamping pada kolom KUNCI",IF(A191="Uraian Panjang","Pastikan tidak ada jawaban yang tercentang pada kolom KUNCI",IF(A191="Esai Koreksi Otomatis","Kunci jawaban adalah teks opsi dan centang opsi tersebut pada kolom KUNCI","ISIKAN JODOHNYA PADA KOLOM KUNCI")))))</f>
        <v/>
      </c>
      <c r="G191" s="56" t="str">
        <f>IF(LEN(A191)&lt;1,"",IF(AA191=FALSE,"Ada kesalahan, mohon perhatikan kolom KETERANGAN",""))</f>
        <v/>
      </c>
      <c r="H191" s="40"/>
      <c r="I191" s="40"/>
      <c r="J191" s="46"/>
      <c r="K191" s="47"/>
      <c r="M191" s="25">
        <f t="shared" si="205"/>
        <v>0</v>
      </c>
      <c r="N191" s="25" t="str">
        <f t="shared" si="224"/>
        <v/>
      </c>
      <c r="O191" s="26" t="str">
        <f t="shared" si="206"/>
        <v/>
      </c>
      <c r="P191" s="26">
        <f t="shared" si="207"/>
        <v>0</v>
      </c>
      <c r="Q191" s="20" t="s">
        <v>41</v>
      </c>
      <c r="R191" s="20">
        <f t="shared" si="199"/>
        <v>0</v>
      </c>
      <c r="S191" s="20">
        <f t="shared" si="200"/>
        <v>0</v>
      </c>
      <c r="T191" s="20">
        <f t="shared" si="208"/>
        <v>0</v>
      </c>
      <c r="U191" s="20">
        <f t="shared" si="209"/>
        <v>0</v>
      </c>
      <c r="V191" s="20" t="str">
        <f t="shared" si="201"/>
        <v/>
      </c>
      <c r="W191" s="20" t="str">
        <f t="shared" si="202"/>
        <v/>
      </c>
      <c r="X191" s="20" t="str">
        <f t="shared" si="210"/>
        <v/>
      </c>
      <c r="Y191">
        <f t="shared" si="211"/>
        <v>0</v>
      </c>
      <c r="Z191">
        <f t="shared" si="212"/>
        <v>0</v>
      </c>
      <c r="AA191" s="14" t="b">
        <f t="shared" si="203"/>
        <v>0</v>
      </c>
      <c r="AB191" s="28" t="str">
        <f t="shared" si="213"/>
        <v/>
      </c>
      <c r="AC191" s="20" t="str">
        <f t="shared" si="214"/>
        <v/>
      </c>
      <c r="AD191" s="20" t="str">
        <f t="shared" si="215"/>
        <v/>
      </c>
    </row>
    <row r="192" spans="1:30" ht="15" customHeight="1">
      <c r="A192" s="54"/>
      <c r="B192" s="60"/>
      <c r="C192" s="33" t="str">
        <f t="shared" ref="C192" si="294">IF(C191="Teks Uraian","",IF(OR(LEN(C191)&lt;1,LEN(D192)&lt;1),"","A"))</f>
        <v/>
      </c>
      <c r="D192" s="38"/>
      <c r="E192" s="44"/>
      <c r="F192" s="52"/>
      <c r="G192" s="57"/>
      <c r="H192" s="38"/>
      <c r="I192" s="38"/>
      <c r="J192" s="48"/>
      <c r="K192" s="49"/>
      <c r="M192" s="25">
        <f t="shared" si="205"/>
        <v>0</v>
      </c>
      <c r="N192" s="25" t="str">
        <f t="shared" si="224"/>
        <v/>
      </c>
      <c r="O192" s="26" t="str">
        <f t="shared" si="206"/>
        <v/>
      </c>
      <c r="P192" s="26">
        <f t="shared" si="207"/>
        <v>0</v>
      </c>
      <c r="Q192" s="20" t="s">
        <v>41</v>
      </c>
      <c r="R192" s="20">
        <f t="shared" si="199"/>
        <v>0</v>
      </c>
      <c r="S192" s="20">
        <f t="shared" si="200"/>
        <v>0</v>
      </c>
      <c r="T192" s="20">
        <f t="shared" si="208"/>
        <v>0</v>
      </c>
      <c r="U192" s="20">
        <f t="shared" si="209"/>
        <v>0</v>
      </c>
      <c r="V192" s="20" t="str">
        <f t="shared" si="201"/>
        <v/>
      </c>
      <c r="W192" s="20" t="str">
        <f t="shared" si="202"/>
        <v/>
      </c>
      <c r="X192" s="20" t="str">
        <f t="shared" si="210"/>
        <v/>
      </c>
      <c r="Y192">
        <f t="shared" si="211"/>
        <v>0</v>
      </c>
      <c r="Z192">
        <f t="shared" si="212"/>
        <v>0</v>
      </c>
      <c r="AA192" s="14" t="b">
        <f t="shared" si="203"/>
        <v>0</v>
      </c>
      <c r="AB192" s="28" t="str">
        <f t="shared" si="213"/>
        <v/>
      </c>
      <c r="AC192" s="20" t="str">
        <f t="shared" si="214"/>
        <v/>
      </c>
      <c r="AD192" s="20" t="str">
        <f t="shared" si="215"/>
        <v/>
      </c>
    </row>
    <row r="193" spans="1:30" ht="15" customHeight="1">
      <c r="A193" s="54"/>
      <c r="B193" s="60"/>
      <c r="C193" s="33" t="str">
        <f t="shared" ref="C193" si="295">IF(OR(LEN(C192)&lt;1,LEN(D192)&lt;1),"","B")</f>
        <v/>
      </c>
      <c r="D193" s="38"/>
      <c r="E193" s="44"/>
      <c r="F193" s="52"/>
      <c r="G193" s="57"/>
      <c r="H193" s="38"/>
      <c r="I193" s="38"/>
      <c r="J193" s="48"/>
      <c r="K193" s="49"/>
      <c r="M193" s="25">
        <f t="shared" si="205"/>
        <v>0</v>
      </c>
      <c r="N193" s="25" t="str">
        <f t="shared" si="224"/>
        <v/>
      </c>
      <c r="O193" s="26" t="str">
        <f t="shared" si="206"/>
        <v/>
      </c>
      <c r="P193" s="26">
        <f t="shared" si="207"/>
        <v>0</v>
      </c>
      <c r="Q193" s="20" t="s">
        <v>41</v>
      </c>
      <c r="R193" s="20">
        <f t="shared" si="199"/>
        <v>0</v>
      </c>
      <c r="S193" s="20">
        <f t="shared" si="200"/>
        <v>0</v>
      </c>
      <c r="T193" s="20">
        <f t="shared" si="208"/>
        <v>0</v>
      </c>
      <c r="U193" s="20">
        <f t="shared" si="209"/>
        <v>0</v>
      </c>
      <c r="V193" s="20" t="str">
        <f t="shared" si="201"/>
        <v/>
      </c>
      <c r="W193" s="20" t="str">
        <f t="shared" si="202"/>
        <v/>
      </c>
      <c r="X193" s="20" t="str">
        <f t="shared" si="210"/>
        <v/>
      </c>
      <c r="Y193">
        <f t="shared" si="211"/>
        <v>0</v>
      </c>
      <c r="Z193">
        <f t="shared" si="212"/>
        <v>0</v>
      </c>
      <c r="AA193" s="14" t="b">
        <f t="shared" si="203"/>
        <v>0</v>
      </c>
      <c r="AB193" s="28" t="str">
        <f t="shared" si="213"/>
        <v/>
      </c>
      <c r="AC193" s="20" t="str">
        <f t="shared" si="214"/>
        <v/>
      </c>
      <c r="AD193" s="20" t="str">
        <f t="shared" si="215"/>
        <v/>
      </c>
    </row>
    <row r="194" spans="1:30" ht="15" customHeight="1">
      <c r="A194" s="54"/>
      <c r="B194" s="60"/>
      <c r="C194" s="33" t="str">
        <f t="shared" ref="C194" si="296">IF(OR(LEN(C193)&lt;1,LEN(D194)&lt;1),"","C")</f>
        <v/>
      </c>
      <c r="D194" s="38"/>
      <c r="E194" s="42"/>
      <c r="F194" s="52"/>
      <c r="G194" s="57"/>
      <c r="H194" s="38"/>
      <c r="I194" s="38"/>
      <c r="J194" s="48"/>
      <c r="K194" s="49"/>
      <c r="M194" s="25">
        <f t="shared" si="205"/>
        <v>0</v>
      </c>
      <c r="N194" s="25" t="str">
        <f t="shared" si="224"/>
        <v/>
      </c>
      <c r="O194" s="26" t="str">
        <f t="shared" si="206"/>
        <v/>
      </c>
      <c r="P194" s="26">
        <f t="shared" si="207"/>
        <v>0</v>
      </c>
      <c r="Q194" s="20" t="s">
        <v>41</v>
      </c>
      <c r="R194" s="20">
        <f t="shared" si="199"/>
        <v>0</v>
      </c>
      <c r="S194" s="20">
        <f t="shared" si="200"/>
        <v>0</v>
      </c>
      <c r="T194" s="20">
        <f t="shared" si="208"/>
        <v>0</v>
      </c>
      <c r="U194" s="20">
        <f t="shared" si="209"/>
        <v>0</v>
      </c>
      <c r="V194" s="20" t="str">
        <f t="shared" si="201"/>
        <v/>
      </c>
      <c r="W194" s="20" t="str">
        <f t="shared" si="202"/>
        <v/>
      </c>
      <c r="X194" s="20" t="str">
        <f t="shared" si="210"/>
        <v/>
      </c>
      <c r="Y194">
        <f t="shared" si="211"/>
        <v>0</v>
      </c>
      <c r="Z194">
        <f t="shared" si="212"/>
        <v>0</v>
      </c>
      <c r="AA194" s="14" t="b">
        <f t="shared" si="203"/>
        <v>0</v>
      </c>
      <c r="AB194" s="28" t="str">
        <f t="shared" si="213"/>
        <v/>
      </c>
      <c r="AC194" s="20" t="str">
        <f t="shared" si="214"/>
        <v/>
      </c>
      <c r="AD194" s="20" t="str">
        <f t="shared" si="215"/>
        <v/>
      </c>
    </row>
    <row r="195" spans="1:30" ht="15" customHeight="1">
      <c r="A195" s="54"/>
      <c r="B195" s="60"/>
      <c r="C195" s="33" t="str">
        <f t="shared" ref="C195" si="297">IF(OR(LEN(C194)&lt;1,LEN(D195)&lt;1),"","D")</f>
        <v/>
      </c>
      <c r="D195" s="38"/>
      <c r="E195" s="44"/>
      <c r="F195" s="52"/>
      <c r="G195" s="57"/>
      <c r="H195" s="38"/>
      <c r="I195" s="38"/>
      <c r="J195" s="48"/>
      <c r="K195" s="49"/>
      <c r="M195" s="25">
        <f t="shared" si="205"/>
        <v>0</v>
      </c>
      <c r="N195" s="25" t="str">
        <f t="shared" si="224"/>
        <v/>
      </c>
      <c r="O195" s="26" t="str">
        <f t="shared" si="206"/>
        <v/>
      </c>
      <c r="P195" s="26">
        <f t="shared" si="207"/>
        <v>0</v>
      </c>
      <c r="Q195" s="20" t="s">
        <v>41</v>
      </c>
      <c r="R195" s="20">
        <f t="shared" si="199"/>
        <v>0</v>
      </c>
      <c r="S195" s="20">
        <f t="shared" si="200"/>
        <v>0</v>
      </c>
      <c r="T195" s="20">
        <f t="shared" si="208"/>
        <v>0</v>
      </c>
      <c r="U195" s="20">
        <f t="shared" si="209"/>
        <v>0</v>
      </c>
      <c r="V195" s="20" t="str">
        <f t="shared" si="201"/>
        <v/>
      </c>
      <c r="W195" s="20" t="str">
        <f t="shared" si="202"/>
        <v/>
      </c>
      <c r="X195" s="20" t="str">
        <f t="shared" si="210"/>
        <v/>
      </c>
      <c r="Y195">
        <f t="shared" si="211"/>
        <v>0</v>
      </c>
      <c r="Z195">
        <f t="shared" si="212"/>
        <v>0</v>
      </c>
      <c r="AA195" s="14" t="b">
        <f t="shared" si="203"/>
        <v>0</v>
      </c>
      <c r="AB195" s="28" t="str">
        <f t="shared" si="213"/>
        <v/>
      </c>
      <c r="AC195" s="20" t="str">
        <f t="shared" si="214"/>
        <v/>
      </c>
      <c r="AD195" s="20" t="str">
        <f t="shared" si="215"/>
        <v/>
      </c>
    </row>
    <row r="196" spans="1:30" ht="15.75" customHeight="1" thickBot="1">
      <c r="A196" s="55"/>
      <c r="B196" s="61"/>
      <c r="C196" s="36" t="str">
        <f t="shared" ref="C196" si="298">IF(OR(LEN(C195)&lt;1,LEN(D196)&lt;1),"","E")</f>
        <v/>
      </c>
      <c r="D196" s="39"/>
      <c r="E196" s="45"/>
      <c r="F196" s="53"/>
      <c r="G196" s="58"/>
      <c r="H196" s="39"/>
      <c r="I196" s="39"/>
      <c r="J196" s="39"/>
      <c r="K196" s="50"/>
      <c r="M196" s="25">
        <f t="shared" si="205"/>
        <v>0</v>
      </c>
      <c r="N196" s="25" t="str">
        <f t="shared" si="224"/>
        <v/>
      </c>
      <c r="O196" s="26" t="str">
        <f t="shared" si="206"/>
        <v/>
      </c>
      <c r="P196" s="26">
        <f t="shared" si="207"/>
        <v>0</v>
      </c>
      <c r="Q196" s="20" t="s">
        <v>41</v>
      </c>
      <c r="R196" s="20">
        <f t="shared" si="199"/>
        <v>0</v>
      </c>
      <c r="S196" s="20">
        <f t="shared" si="200"/>
        <v>0</v>
      </c>
      <c r="T196" s="20">
        <f t="shared" si="208"/>
        <v>0</v>
      </c>
      <c r="U196" s="20">
        <f t="shared" si="209"/>
        <v>0</v>
      </c>
      <c r="V196" s="20" t="str">
        <f t="shared" si="201"/>
        <v/>
      </c>
      <c r="W196" s="20" t="str">
        <f t="shared" si="202"/>
        <v/>
      </c>
      <c r="X196" s="20" t="str">
        <f t="shared" si="210"/>
        <v/>
      </c>
      <c r="Y196">
        <f t="shared" si="211"/>
        <v>0</v>
      </c>
      <c r="Z196">
        <f t="shared" si="212"/>
        <v>0</v>
      </c>
      <c r="AA196" s="14" t="b">
        <f t="shared" si="203"/>
        <v>0</v>
      </c>
      <c r="AB196" s="28" t="str">
        <f t="shared" si="213"/>
        <v/>
      </c>
      <c r="AC196" s="20" t="str">
        <f t="shared" si="214"/>
        <v/>
      </c>
      <c r="AD196" s="20" t="str">
        <f t="shared" si="215"/>
        <v/>
      </c>
    </row>
    <row r="197" spans="1:30" ht="15" customHeight="1">
      <c r="A197" s="54"/>
      <c r="B197" s="59" t="str">
        <f t="shared" ref="B197" si="299">IF(LEN(A197)&lt;1,"",IF(ISBLANK(B191),"",B191+1))</f>
        <v/>
      </c>
      <c r="C197" s="35" t="str">
        <f t="shared" ref="C197" si="300">IF(ISBLANK(A197),"",IF(A197="Uraian Panjang","Teks Uraian","Teks Soal"))</f>
        <v/>
      </c>
      <c r="D197" s="40"/>
      <c r="E197" s="41"/>
      <c r="F197" s="52" t="str">
        <f t="shared" ref="F197" si="301">IF(ISBLANK(A197),"",IF(A197="Pilihan Ganda","Centang salah satu jawaban disamping pada kolom KUNCI",IF(A197="Jawaban Jamak","Centang beberapa jawaban disamping pada kolom KUNCI",IF(A197="Uraian Panjang","Pastikan tidak ada jawaban yang tercentang pada kolom KUNCI",IF(A197="Esai Koreksi Otomatis","Kunci jawaban adalah teks opsi dan centang opsi tersebut pada kolom KUNCI","ISIKAN JODOHNYA PADA KOLOM KUNCI")))))</f>
        <v/>
      </c>
      <c r="G197" s="56" t="str">
        <f>IF(LEN(A197)&lt;1,"",IF(AA197=FALSE,"Ada kesalahan, mohon perhatikan kolom KETERANGAN",""))</f>
        <v/>
      </c>
      <c r="H197" s="40"/>
      <c r="I197" s="40"/>
      <c r="J197" s="46"/>
      <c r="K197" s="47"/>
      <c r="M197" s="25">
        <f t="shared" si="205"/>
        <v>0</v>
      </c>
      <c r="N197" s="25" t="str">
        <f t="shared" si="224"/>
        <v/>
      </c>
      <c r="O197" s="26" t="str">
        <f t="shared" si="206"/>
        <v/>
      </c>
      <c r="P197" s="26">
        <f t="shared" si="207"/>
        <v>0</v>
      </c>
      <c r="Q197" s="20" t="s">
        <v>41</v>
      </c>
      <c r="R197" s="20">
        <f t="shared" ref="R197:R260" si="302">C$1</f>
        <v>0</v>
      </c>
      <c r="S197" s="20">
        <f t="shared" ref="S197:S260" si="303">C$2</f>
        <v>0</v>
      </c>
      <c r="T197" s="20">
        <f t="shared" si="208"/>
        <v>0</v>
      </c>
      <c r="U197" s="20">
        <f t="shared" si="209"/>
        <v>0</v>
      </c>
      <c r="V197" s="20" t="str">
        <f t="shared" ref="V197:V260" si="304">IF(ISBLANK(H197),"",CONCATENATE("&lt;img src='",Q197,R197,"/",S197,"/",T197,"'&gt;&lt;br/&gt;"))</f>
        <v/>
      </c>
      <c r="W197" s="20" t="str">
        <f t="shared" ref="W197:W260" si="305">IF(ISBLANK(I197),"",CONCATENATE("&lt;br/&gt;&lt;img src='",Q197,R197,"/",S197,"/",U197,"'&gt;"))</f>
        <v/>
      </c>
      <c r="X197" s="20" t="str">
        <f t="shared" si="210"/>
        <v/>
      </c>
      <c r="Y197">
        <f t="shared" si="211"/>
        <v>0</v>
      </c>
      <c r="Z197">
        <f t="shared" si="212"/>
        <v>0</v>
      </c>
      <c r="AA197" s="14" t="b">
        <f t="shared" ref="AA197:AA260" si="306">IF(A197="Pilihan Ganda",
 AND(A197="Pilihan Ganda",Y197=1),
 IF(A197="Jawaban Jamak",
  AND(A197="Jawaban Jamak",Y197&gt;1),
  IF(A197="Menjodohkan",
   AND(A197="Menjodohkan",Y197=0),
   IF(A197="Uraian Panjang",
    AND(A197="Uraian Panjang",Y197=0),
    IF(A197="Esai Koreksi Otomatis",
     AND(A197="Esai Koreksi Otomatis",Y197&gt;0)
    )
   )
  )
 )
)</f>
        <v>0</v>
      </c>
      <c r="AB197" s="28" t="str">
        <f t="shared" si="213"/>
        <v/>
      </c>
      <c r="AC197" s="20" t="str">
        <f t="shared" si="214"/>
        <v/>
      </c>
      <c r="AD197" s="20" t="str">
        <f t="shared" si="215"/>
        <v/>
      </c>
    </row>
    <row r="198" spans="1:30" ht="15" customHeight="1">
      <c r="A198" s="54"/>
      <c r="B198" s="60"/>
      <c r="C198" s="33" t="str">
        <f t="shared" ref="C198" si="307">IF(C197="Teks Uraian","",IF(OR(LEN(C197)&lt;1,LEN(D198)&lt;1),"","A"))</f>
        <v/>
      </c>
      <c r="D198" s="38"/>
      <c r="E198" s="44"/>
      <c r="F198" s="52"/>
      <c r="G198" s="57"/>
      <c r="H198" s="38"/>
      <c r="I198" s="38"/>
      <c r="J198" s="48"/>
      <c r="K198" s="49"/>
      <c r="M198" s="25">
        <f t="shared" ref="M198:M261" si="308">IF(AND(ISBLANK(A198),ISBLANK(E198)),0,IF(ISBLANK(E198),IF(A198="Pilihan Ganda","S",IF(A198="Jawaban Jamak","M",IF(A198="Uraian Panjang","T",IF(A198="Esai Koreksi Otomatis","T","O")))),IF(E198="v",1,0)))</f>
        <v>0</v>
      </c>
      <c r="N198" s="25" t="str">
        <f t="shared" si="224"/>
        <v/>
      </c>
      <c r="O198" s="26" t="str">
        <f t="shared" ref="O198:O261" si="309">IF(ISBLANK(B198),"",B198)</f>
        <v/>
      </c>
      <c r="P198" s="26">
        <f t="shared" ref="P198:P261" si="310">IF(ISBLANK(D198),0,1)</f>
        <v>0</v>
      </c>
      <c r="Q198" s="20" t="s">
        <v>41</v>
      </c>
      <c r="R198" s="20">
        <f t="shared" si="302"/>
        <v>0</v>
      </c>
      <c r="S198" s="20">
        <f t="shared" si="303"/>
        <v>0</v>
      </c>
      <c r="T198" s="20">
        <f t="shared" ref="T198:T261" si="311">H198</f>
        <v>0</v>
      </c>
      <c r="U198" s="20">
        <f t="shared" ref="U198:U261" si="312">I198</f>
        <v>0</v>
      </c>
      <c r="V198" s="20" t="str">
        <f t="shared" si="304"/>
        <v/>
      </c>
      <c r="W198" s="20" t="str">
        <f t="shared" si="305"/>
        <v/>
      </c>
      <c r="X198" s="20" t="str">
        <f t="shared" ref="X198:X261" si="313">CONCATENATE(V198,SUBSTITUTE(D198,CHAR(34),"&amp;quot;"),AB198,W198,AC198,AD198)</f>
        <v/>
      </c>
      <c r="Y198">
        <f t="shared" ref="Y198:Y261" si="314">COUNTIF(E198:E203,"v")</f>
        <v>0</v>
      </c>
      <c r="Z198">
        <f t="shared" ref="Z198:Z261" si="315">M198</f>
        <v>0</v>
      </c>
      <c r="AA198" s="14" t="b">
        <f t="shared" si="306"/>
        <v>0</v>
      </c>
      <c r="AB198" s="28" t="str">
        <f t="shared" ref="AB198:AB261" si="316">IF(LEN(C198)&gt;1,IF(A198="Menjodohkan",CONCATENATE("&lt;div id='tmfmatchsub' style='background:#bbdefb; border:1px solid #2196f3; padding:5px 10px'&gt;
&lt;ol&gt;","&lt;li&gt;",E199,"&lt;/li&gt;","&lt;li&gt;",E200,"&lt;/li&gt;","&lt;li&gt;",E201,"&lt;/li&gt;","&lt;li&gt;",E202,"&lt;/li&gt;","&lt;li&gt;",E203,"&lt;/li&gt;&lt;/ol&gt;&lt;/div&gt;"),"&amp;nbsp;"),"")</f>
        <v/>
      </c>
      <c r="AC198" s="20" t="str">
        <f t="shared" ref="AC198:AC261" si="317">IF(ISBLANK(J198),"",CONCATENATE("&lt;br/&gt;&lt;audio controls&gt;&lt;source src='",Q198,R198,"/",S198,"/",J198,"'&gt;Your browser does not support the audio element.&lt;/audio&gt;"))</f>
        <v/>
      </c>
      <c r="AD198" s="20" t="str">
        <f t="shared" ref="AD198:AD261" si="318">IF(ISBLANK(K198),"",CONCATENATE("&lt;br/&gt;&lt;video controls&gt;&lt;source src='",Q198,R198,"/",S198,"/",K198,"'&gt;Your browser does not support the video element.&lt;/video&gt;"))</f>
        <v/>
      </c>
    </row>
    <row r="199" spans="1:30" ht="15" customHeight="1">
      <c r="A199" s="54"/>
      <c r="B199" s="60"/>
      <c r="C199" s="33" t="str">
        <f t="shared" ref="C199" si="319">IF(OR(LEN(C198)&lt;1,LEN(D198)&lt;1),"","B")</f>
        <v/>
      </c>
      <c r="D199" s="38"/>
      <c r="E199" s="44"/>
      <c r="F199" s="52"/>
      <c r="G199" s="57"/>
      <c r="H199" s="38"/>
      <c r="I199" s="38"/>
      <c r="J199" s="48"/>
      <c r="K199" s="49"/>
      <c r="M199" s="25">
        <f t="shared" si="308"/>
        <v>0</v>
      </c>
      <c r="N199" s="25" t="str">
        <f t="shared" si="224"/>
        <v/>
      </c>
      <c r="O199" s="26" t="str">
        <f t="shared" si="309"/>
        <v/>
      </c>
      <c r="P199" s="26">
        <f t="shared" si="310"/>
        <v>0</v>
      </c>
      <c r="Q199" s="20" t="s">
        <v>41</v>
      </c>
      <c r="R199" s="20">
        <f t="shared" si="302"/>
        <v>0</v>
      </c>
      <c r="S199" s="20">
        <f t="shared" si="303"/>
        <v>0</v>
      </c>
      <c r="T199" s="20">
        <f t="shared" si="311"/>
        <v>0</v>
      </c>
      <c r="U199" s="20">
        <f t="shared" si="312"/>
        <v>0</v>
      </c>
      <c r="V199" s="20" t="str">
        <f t="shared" si="304"/>
        <v/>
      </c>
      <c r="W199" s="20" t="str">
        <f t="shared" si="305"/>
        <v/>
      </c>
      <c r="X199" s="20" t="str">
        <f t="shared" si="313"/>
        <v/>
      </c>
      <c r="Y199">
        <f t="shared" si="314"/>
        <v>0</v>
      </c>
      <c r="Z199">
        <f t="shared" si="315"/>
        <v>0</v>
      </c>
      <c r="AA199" s="14" t="b">
        <f t="shared" si="306"/>
        <v>0</v>
      </c>
      <c r="AB199" s="28" t="str">
        <f t="shared" si="316"/>
        <v/>
      </c>
      <c r="AC199" s="20" t="str">
        <f t="shared" si="317"/>
        <v/>
      </c>
      <c r="AD199" s="20" t="str">
        <f t="shared" si="318"/>
        <v/>
      </c>
    </row>
    <row r="200" spans="1:30" ht="15" customHeight="1">
      <c r="A200" s="54"/>
      <c r="B200" s="60"/>
      <c r="C200" s="33" t="str">
        <f t="shared" ref="C200" si="320">IF(OR(LEN(C199)&lt;1,LEN(D200)&lt;1),"","C")</f>
        <v/>
      </c>
      <c r="D200" s="38"/>
      <c r="E200" s="42"/>
      <c r="F200" s="52"/>
      <c r="G200" s="57"/>
      <c r="H200" s="38"/>
      <c r="I200" s="38"/>
      <c r="J200" s="48"/>
      <c r="K200" s="49"/>
      <c r="M200" s="25">
        <f t="shared" si="308"/>
        <v>0</v>
      </c>
      <c r="N200" s="25" t="str">
        <f t="shared" si="224"/>
        <v/>
      </c>
      <c r="O200" s="26" t="str">
        <f t="shared" si="309"/>
        <v/>
      </c>
      <c r="P200" s="26">
        <f t="shared" si="310"/>
        <v>0</v>
      </c>
      <c r="Q200" s="20" t="s">
        <v>41</v>
      </c>
      <c r="R200" s="20">
        <f t="shared" si="302"/>
        <v>0</v>
      </c>
      <c r="S200" s="20">
        <f t="shared" si="303"/>
        <v>0</v>
      </c>
      <c r="T200" s="20">
        <f t="shared" si="311"/>
        <v>0</v>
      </c>
      <c r="U200" s="20">
        <f t="shared" si="312"/>
        <v>0</v>
      </c>
      <c r="V200" s="20" t="str">
        <f t="shared" si="304"/>
        <v/>
      </c>
      <c r="W200" s="20" t="str">
        <f t="shared" si="305"/>
        <v/>
      </c>
      <c r="X200" s="20" t="str">
        <f t="shared" si="313"/>
        <v/>
      </c>
      <c r="Y200">
        <f t="shared" si="314"/>
        <v>0</v>
      </c>
      <c r="Z200">
        <f t="shared" si="315"/>
        <v>0</v>
      </c>
      <c r="AA200" s="14" t="b">
        <f t="shared" si="306"/>
        <v>0</v>
      </c>
      <c r="AB200" s="28" t="str">
        <f t="shared" si="316"/>
        <v/>
      </c>
      <c r="AC200" s="20" t="str">
        <f t="shared" si="317"/>
        <v/>
      </c>
      <c r="AD200" s="20" t="str">
        <f t="shared" si="318"/>
        <v/>
      </c>
    </row>
    <row r="201" spans="1:30" ht="15" customHeight="1">
      <c r="A201" s="54"/>
      <c r="B201" s="60"/>
      <c r="C201" s="33" t="str">
        <f t="shared" ref="C201" si="321">IF(OR(LEN(C200)&lt;1,LEN(D201)&lt;1),"","D")</f>
        <v/>
      </c>
      <c r="D201" s="38"/>
      <c r="E201" s="44"/>
      <c r="F201" s="52"/>
      <c r="G201" s="57"/>
      <c r="H201" s="38"/>
      <c r="I201" s="38"/>
      <c r="J201" s="48"/>
      <c r="K201" s="49"/>
      <c r="M201" s="25">
        <f t="shared" si="308"/>
        <v>0</v>
      </c>
      <c r="N201" s="25" t="str">
        <f t="shared" si="224"/>
        <v/>
      </c>
      <c r="O201" s="26" t="str">
        <f t="shared" si="309"/>
        <v/>
      </c>
      <c r="P201" s="26">
        <f t="shared" si="310"/>
        <v>0</v>
      </c>
      <c r="Q201" s="20" t="s">
        <v>41</v>
      </c>
      <c r="R201" s="20">
        <f t="shared" si="302"/>
        <v>0</v>
      </c>
      <c r="S201" s="20">
        <f t="shared" si="303"/>
        <v>0</v>
      </c>
      <c r="T201" s="20">
        <f t="shared" si="311"/>
        <v>0</v>
      </c>
      <c r="U201" s="20">
        <f t="shared" si="312"/>
        <v>0</v>
      </c>
      <c r="V201" s="20" t="str">
        <f t="shared" si="304"/>
        <v/>
      </c>
      <c r="W201" s="20" t="str">
        <f t="shared" si="305"/>
        <v/>
      </c>
      <c r="X201" s="20" t="str">
        <f t="shared" si="313"/>
        <v/>
      </c>
      <c r="Y201">
        <f t="shared" si="314"/>
        <v>0</v>
      </c>
      <c r="Z201">
        <f t="shared" si="315"/>
        <v>0</v>
      </c>
      <c r="AA201" s="14" t="b">
        <f t="shared" si="306"/>
        <v>0</v>
      </c>
      <c r="AB201" s="28" t="str">
        <f t="shared" si="316"/>
        <v/>
      </c>
      <c r="AC201" s="20" t="str">
        <f t="shared" si="317"/>
        <v/>
      </c>
      <c r="AD201" s="20" t="str">
        <f t="shared" si="318"/>
        <v/>
      </c>
    </row>
    <row r="202" spans="1:30" ht="15.75" customHeight="1" thickBot="1">
      <c r="A202" s="55"/>
      <c r="B202" s="61"/>
      <c r="C202" s="36" t="str">
        <f t="shared" ref="C202" si="322">IF(OR(LEN(C201)&lt;1,LEN(D202)&lt;1),"","E")</f>
        <v/>
      </c>
      <c r="D202" s="39"/>
      <c r="E202" s="45"/>
      <c r="F202" s="53"/>
      <c r="G202" s="58"/>
      <c r="H202" s="39"/>
      <c r="I202" s="39"/>
      <c r="J202" s="39"/>
      <c r="K202" s="50"/>
      <c r="M202" s="25">
        <f t="shared" si="308"/>
        <v>0</v>
      </c>
      <c r="N202" s="25" t="str">
        <f t="shared" si="224"/>
        <v/>
      </c>
      <c r="O202" s="26" t="str">
        <f t="shared" si="309"/>
        <v/>
      </c>
      <c r="P202" s="26">
        <f t="shared" si="310"/>
        <v>0</v>
      </c>
      <c r="Q202" s="20" t="s">
        <v>41</v>
      </c>
      <c r="R202" s="20">
        <f t="shared" si="302"/>
        <v>0</v>
      </c>
      <c r="S202" s="20">
        <f t="shared" si="303"/>
        <v>0</v>
      </c>
      <c r="T202" s="20">
        <f t="shared" si="311"/>
        <v>0</v>
      </c>
      <c r="U202" s="20">
        <f t="shared" si="312"/>
        <v>0</v>
      </c>
      <c r="V202" s="20" t="str">
        <f t="shared" si="304"/>
        <v/>
      </c>
      <c r="W202" s="20" t="str">
        <f t="shared" si="305"/>
        <v/>
      </c>
      <c r="X202" s="20" t="str">
        <f t="shared" si="313"/>
        <v/>
      </c>
      <c r="Y202">
        <f t="shared" si="314"/>
        <v>0</v>
      </c>
      <c r="Z202">
        <f t="shared" si="315"/>
        <v>0</v>
      </c>
      <c r="AA202" s="14" t="b">
        <f t="shared" si="306"/>
        <v>0</v>
      </c>
      <c r="AB202" s="28" t="str">
        <f t="shared" si="316"/>
        <v/>
      </c>
      <c r="AC202" s="20" t="str">
        <f t="shared" si="317"/>
        <v/>
      </c>
      <c r="AD202" s="20" t="str">
        <f t="shared" si="318"/>
        <v/>
      </c>
    </row>
    <row r="203" spans="1:30" ht="15" customHeight="1">
      <c r="A203" s="54"/>
      <c r="B203" s="59" t="str">
        <f t="shared" ref="B203" si="323">IF(LEN(A203)&lt;1,"",IF(ISBLANK(B197),"",B197+1))</f>
        <v/>
      </c>
      <c r="C203" s="35" t="str">
        <f t="shared" ref="C203" si="324">IF(ISBLANK(A203),"",IF(A203="Uraian Panjang","Teks Uraian","Teks Soal"))</f>
        <v/>
      </c>
      <c r="D203" s="40"/>
      <c r="E203" s="41"/>
      <c r="F203" s="52" t="str">
        <f t="shared" ref="F203" si="325">IF(ISBLANK(A203),"",IF(A203="Pilihan Ganda","Centang salah satu jawaban disamping pada kolom KUNCI",IF(A203="Jawaban Jamak","Centang beberapa jawaban disamping pada kolom KUNCI",IF(A203="Uraian Panjang","Pastikan tidak ada jawaban yang tercentang pada kolom KUNCI",IF(A203="Esai Koreksi Otomatis","Kunci jawaban adalah teks opsi dan centang opsi tersebut pada kolom KUNCI","ISIKAN JODOHNYA PADA KOLOM KUNCI")))))</f>
        <v/>
      </c>
      <c r="G203" s="56" t="str">
        <f>IF(LEN(A203)&lt;1,"",IF(AA203=FALSE,"Ada kesalahan, mohon perhatikan kolom KETERANGAN",""))</f>
        <v/>
      </c>
      <c r="H203" s="40"/>
      <c r="I203" s="40"/>
      <c r="J203" s="46"/>
      <c r="K203" s="47"/>
      <c r="M203" s="25">
        <f t="shared" si="308"/>
        <v>0</v>
      </c>
      <c r="N203" s="25" t="str">
        <f t="shared" si="224"/>
        <v/>
      </c>
      <c r="O203" s="26" t="str">
        <f t="shared" si="309"/>
        <v/>
      </c>
      <c r="P203" s="26">
        <f t="shared" si="310"/>
        <v>0</v>
      </c>
      <c r="Q203" s="20" t="s">
        <v>41</v>
      </c>
      <c r="R203" s="20">
        <f t="shared" si="302"/>
        <v>0</v>
      </c>
      <c r="S203" s="20">
        <f t="shared" si="303"/>
        <v>0</v>
      </c>
      <c r="T203" s="20">
        <f t="shared" si="311"/>
        <v>0</v>
      </c>
      <c r="U203" s="20">
        <f t="shared" si="312"/>
        <v>0</v>
      </c>
      <c r="V203" s="20" t="str">
        <f t="shared" si="304"/>
        <v/>
      </c>
      <c r="W203" s="20" t="str">
        <f t="shared" si="305"/>
        <v/>
      </c>
      <c r="X203" s="20" t="str">
        <f t="shared" si="313"/>
        <v/>
      </c>
      <c r="Y203">
        <f t="shared" si="314"/>
        <v>0</v>
      </c>
      <c r="Z203">
        <f t="shared" si="315"/>
        <v>0</v>
      </c>
      <c r="AA203" s="14" t="b">
        <f t="shared" si="306"/>
        <v>0</v>
      </c>
      <c r="AB203" s="28" t="str">
        <f t="shared" si="316"/>
        <v/>
      </c>
      <c r="AC203" s="20" t="str">
        <f t="shared" si="317"/>
        <v/>
      </c>
      <c r="AD203" s="20" t="str">
        <f t="shared" si="318"/>
        <v/>
      </c>
    </row>
    <row r="204" spans="1:30" ht="15" customHeight="1">
      <c r="A204" s="54"/>
      <c r="B204" s="60"/>
      <c r="C204" s="33" t="str">
        <f t="shared" ref="C204" si="326">IF(C203="Teks Uraian","",IF(OR(LEN(C203)&lt;1,LEN(D204)&lt;1),"","A"))</f>
        <v/>
      </c>
      <c r="D204" s="38"/>
      <c r="E204" s="44"/>
      <c r="F204" s="52"/>
      <c r="G204" s="57"/>
      <c r="H204" s="38"/>
      <c r="I204" s="38"/>
      <c r="J204" s="48"/>
      <c r="K204" s="49"/>
      <c r="M204" s="25">
        <f t="shared" si="308"/>
        <v>0</v>
      </c>
      <c r="N204" s="25" t="str">
        <f t="shared" ref="N204:N267" si="327">IF(LEN(C204)&gt;1,1,IF(C204="A",1,IF(C204="B",2,IF(C204="C",3,IF(C204="D",4,IF(C204="E",5,""))))))</f>
        <v/>
      </c>
      <c r="O204" s="26" t="str">
        <f t="shared" si="309"/>
        <v/>
      </c>
      <c r="P204" s="26">
        <f t="shared" si="310"/>
        <v>0</v>
      </c>
      <c r="Q204" s="20" t="s">
        <v>41</v>
      </c>
      <c r="R204" s="20">
        <f t="shared" si="302"/>
        <v>0</v>
      </c>
      <c r="S204" s="20">
        <f t="shared" si="303"/>
        <v>0</v>
      </c>
      <c r="T204" s="20">
        <f t="shared" si="311"/>
        <v>0</v>
      </c>
      <c r="U204" s="20">
        <f t="shared" si="312"/>
        <v>0</v>
      </c>
      <c r="V204" s="20" t="str">
        <f t="shared" si="304"/>
        <v/>
      </c>
      <c r="W204" s="20" t="str">
        <f t="shared" si="305"/>
        <v/>
      </c>
      <c r="X204" s="20" t="str">
        <f t="shared" si="313"/>
        <v/>
      </c>
      <c r="Y204">
        <f t="shared" si="314"/>
        <v>0</v>
      </c>
      <c r="Z204">
        <f t="shared" si="315"/>
        <v>0</v>
      </c>
      <c r="AA204" s="14" t="b">
        <f t="shared" si="306"/>
        <v>0</v>
      </c>
      <c r="AB204" s="28" t="str">
        <f t="shared" si="316"/>
        <v/>
      </c>
      <c r="AC204" s="20" t="str">
        <f t="shared" si="317"/>
        <v/>
      </c>
      <c r="AD204" s="20" t="str">
        <f t="shared" si="318"/>
        <v/>
      </c>
    </row>
    <row r="205" spans="1:30" ht="15" customHeight="1">
      <c r="A205" s="54"/>
      <c r="B205" s="60"/>
      <c r="C205" s="33" t="str">
        <f t="shared" ref="C205" si="328">IF(OR(LEN(C204)&lt;1,LEN(D204)&lt;1),"","B")</f>
        <v/>
      </c>
      <c r="D205" s="38"/>
      <c r="E205" s="44"/>
      <c r="F205" s="52"/>
      <c r="G205" s="57"/>
      <c r="H205" s="38"/>
      <c r="I205" s="38"/>
      <c r="J205" s="48"/>
      <c r="K205" s="49"/>
      <c r="M205" s="25">
        <f t="shared" si="308"/>
        <v>0</v>
      </c>
      <c r="N205" s="25" t="str">
        <f t="shared" si="327"/>
        <v/>
      </c>
      <c r="O205" s="26" t="str">
        <f t="shared" si="309"/>
        <v/>
      </c>
      <c r="P205" s="26">
        <f t="shared" si="310"/>
        <v>0</v>
      </c>
      <c r="Q205" s="20" t="s">
        <v>41</v>
      </c>
      <c r="R205" s="20">
        <f t="shared" si="302"/>
        <v>0</v>
      </c>
      <c r="S205" s="20">
        <f t="shared" si="303"/>
        <v>0</v>
      </c>
      <c r="T205" s="20">
        <f t="shared" si="311"/>
        <v>0</v>
      </c>
      <c r="U205" s="20">
        <f t="shared" si="312"/>
        <v>0</v>
      </c>
      <c r="V205" s="20" t="str">
        <f t="shared" si="304"/>
        <v/>
      </c>
      <c r="W205" s="20" t="str">
        <f t="shared" si="305"/>
        <v/>
      </c>
      <c r="X205" s="20" t="str">
        <f t="shared" si="313"/>
        <v/>
      </c>
      <c r="Y205">
        <f t="shared" si="314"/>
        <v>0</v>
      </c>
      <c r="Z205">
        <f t="shared" si="315"/>
        <v>0</v>
      </c>
      <c r="AA205" s="14" t="b">
        <f t="shared" si="306"/>
        <v>0</v>
      </c>
      <c r="AB205" s="28" t="str">
        <f t="shared" si="316"/>
        <v/>
      </c>
      <c r="AC205" s="20" t="str">
        <f t="shared" si="317"/>
        <v/>
      </c>
      <c r="AD205" s="20" t="str">
        <f t="shared" si="318"/>
        <v/>
      </c>
    </row>
    <row r="206" spans="1:30" ht="15" customHeight="1">
      <c r="A206" s="54"/>
      <c r="B206" s="60"/>
      <c r="C206" s="33" t="str">
        <f t="shared" ref="C206" si="329">IF(OR(LEN(C205)&lt;1,LEN(D206)&lt;1),"","C")</f>
        <v/>
      </c>
      <c r="D206" s="38"/>
      <c r="E206" s="42"/>
      <c r="F206" s="52"/>
      <c r="G206" s="57"/>
      <c r="H206" s="38"/>
      <c r="I206" s="38"/>
      <c r="J206" s="48"/>
      <c r="K206" s="49"/>
      <c r="M206" s="25">
        <f t="shared" si="308"/>
        <v>0</v>
      </c>
      <c r="N206" s="25" t="str">
        <f t="shared" si="327"/>
        <v/>
      </c>
      <c r="O206" s="26" t="str">
        <f t="shared" si="309"/>
        <v/>
      </c>
      <c r="P206" s="26">
        <f t="shared" si="310"/>
        <v>0</v>
      </c>
      <c r="Q206" s="20" t="s">
        <v>41</v>
      </c>
      <c r="R206" s="20">
        <f t="shared" si="302"/>
        <v>0</v>
      </c>
      <c r="S206" s="20">
        <f t="shared" si="303"/>
        <v>0</v>
      </c>
      <c r="T206" s="20">
        <f t="shared" si="311"/>
        <v>0</v>
      </c>
      <c r="U206" s="20">
        <f t="shared" si="312"/>
        <v>0</v>
      </c>
      <c r="V206" s="20" t="str">
        <f t="shared" si="304"/>
        <v/>
      </c>
      <c r="W206" s="20" t="str">
        <f t="shared" si="305"/>
        <v/>
      </c>
      <c r="X206" s="20" t="str">
        <f t="shared" si="313"/>
        <v/>
      </c>
      <c r="Y206">
        <f t="shared" si="314"/>
        <v>0</v>
      </c>
      <c r="Z206">
        <f t="shared" si="315"/>
        <v>0</v>
      </c>
      <c r="AA206" s="14" t="b">
        <f t="shared" si="306"/>
        <v>0</v>
      </c>
      <c r="AB206" s="28" t="str">
        <f t="shared" si="316"/>
        <v/>
      </c>
      <c r="AC206" s="20" t="str">
        <f t="shared" si="317"/>
        <v/>
      </c>
      <c r="AD206" s="20" t="str">
        <f t="shared" si="318"/>
        <v/>
      </c>
    </row>
    <row r="207" spans="1:30" ht="15" customHeight="1">
      <c r="A207" s="54"/>
      <c r="B207" s="60"/>
      <c r="C207" s="33" t="str">
        <f t="shared" ref="C207" si="330">IF(OR(LEN(C206)&lt;1,LEN(D207)&lt;1),"","D")</f>
        <v/>
      </c>
      <c r="D207" s="38"/>
      <c r="E207" s="44"/>
      <c r="F207" s="52"/>
      <c r="G207" s="57"/>
      <c r="H207" s="38"/>
      <c r="I207" s="38"/>
      <c r="J207" s="48"/>
      <c r="K207" s="49"/>
      <c r="M207" s="25">
        <f t="shared" si="308"/>
        <v>0</v>
      </c>
      <c r="N207" s="25" t="str">
        <f t="shared" si="327"/>
        <v/>
      </c>
      <c r="O207" s="26" t="str">
        <f t="shared" si="309"/>
        <v/>
      </c>
      <c r="P207" s="26">
        <f t="shared" si="310"/>
        <v>0</v>
      </c>
      <c r="Q207" s="20" t="s">
        <v>41</v>
      </c>
      <c r="R207" s="20">
        <f t="shared" si="302"/>
        <v>0</v>
      </c>
      <c r="S207" s="20">
        <f t="shared" si="303"/>
        <v>0</v>
      </c>
      <c r="T207" s="20">
        <f t="shared" si="311"/>
        <v>0</v>
      </c>
      <c r="U207" s="20">
        <f t="shared" si="312"/>
        <v>0</v>
      </c>
      <c r="V207" s="20" t="str">
        <f t="shared" si="304"/>
        <v/>
      </c>
      <c r="W207" s="20" t="str">
        <f t="shared" si="305"/>
        <v/>
      </c>
      <c r="X207" s="20" t="str">
        <f t="shared" si="313"/>
        <v/>
      </c>
      <c r="Y207">
        <f t="shared" si="314"/>
        <v>0</v>
      </c>
      <c r="Z207">
        <f t="shared" si="315"/>
        <v>0</v>
      </c>
      <c r="AA207" s="14" t="b">
        <f t="shared" si="306"/>
        <v>0</v>
      </c>
      <c r="AB207" s="28" t="str">
        <f t="shared" si="316"/>
        <v/>
      </c>
      <c r="AC207" s="20" t="str">
        <f t="shared" si="317"/>
        <v/>
      </c>
      <c r="AD207" s="20" t="str">
        <f t="shared" si="318"/>
        <v/>
      </c>
    </row>
    <row r="208" spans="1:30" ht="15.75" customHeight="1" thickBot="1">
      <c r="A208" s="55"/>
      <c r="B208" s="61"/>
      <c r="C208" s="36" t="str">
        <f t="shared" ref="C208" si="331">IF(OR(LEN(C207)&lt;1,LEN(D208)&lt;1),"","E")</f>
        <v/>
      </c>
      <c r="D208" s="39"/>
      <c r="E208" s="45"/>
      <c r="F208" s="53"/>
      <c r="G208" s="58"/>
      <c r="H208" s="39"/>
      <c r="I208" s="39"/>
      <c r="J208" s="39"/>
      <c r="K208" s="50"/>
      <c r="M208" s="25">
        <f t="shared" si="308"/>
        <v>0</v>
      </c>
      <c r="N208" s="25" t="str">
        <f t="shared" si="327"/>
        <v/>
      </c>
      <c r="O208" s="26" t="str">
        <f t="shared" si="309"/>
        <v/>
      </c>
      <c r="P208" s="26">
        <f t="shared" si="310"/>
        <v>0</v>
      </c>
      <c r="Q208" s="20" t="s">
        <v>41</v>
      </c>
      <c r="R208" s="20">
        <f t="shared" si="302"/>
        <v>0</v>
      </c>
      <c r="S208" s="20">
        <f t="shared" si="303"/>
        <v>0</v>
      </c>
      <c r="T208" s="20">
        <f t="shared" si="311"/>
        <v>0</v>
      </c>
      <c r="U208" s="20">
        <f t="shared" si="312"/>
        <v>0</v>
      </c>
      <c r="V208" s="20" t="str">
        <f t="shared" si="304"/>
        <v/>
      </c>
      <c r="W208" s="20" t="str">
        <f t="shared" si="305"/>
        <v/>
      </c>
      <c r="X208" s="20" t="str">
        <f t="shared" si="313"/>
        <v/>
      </c>
      <c r="Y208">
        <f t="shared" si="314"/>
        <v>0</v>
      </c>
      <c r="Z208">
        <f t="shared" si="315"/>
        <v>0</v>
      </c>
      <c r="AA208" s="14" t="b">
        <f t="shared" si="306"/>
        <v>0</v>
      </c>
      <c r="AB208" s="28" t="str">
        <f t="shared" si="316"/>
        <v/>
      </c>
      <c r="AC208" s="20" t="str">
        <f t="shared" si="317"/>
        <v/>
      </c>
      <c r="AD208" s="20" t="str">
        <f t="shared" si="318"/>
        <v/>
      </c>
    </row>
    <row r="209" spans="1:30" ht="15" customHeight="1">
      <c r="A209" s="54"/>
      <c r="B209" s="59" t="str">
        <f t="shared" ref="B209" si="332">IF(LEN(A209)&lt;1,"",IF(ISBLANK(B203),"",B203+1))</f>
        <v/>
      </c>
      <c r="C209" s="35" t="str">
        <f t="shared" ref="C209" si="333">IF(ISBLANK(A209),"",IF(A209="Uraian Panjang","Teks Uraian","Teks Soal"))</f>
        <v/>
      </c>
      <c r="D209" s="40"/>
      <c r="E209" s="41"/>
      <c r="F209" s="52" t="str">
        <f t="shared" ref="F209" si="334">IF(ISBLANK(A209),"",IF(A209="Pilihan Ganda","Centang salah satu jawaban disamping pada kolom KUNCI",IF(A209="Jawaban Jamak","Centang beberapa jawaban disamping pada kolom KUNCI",IF(A209="Uraian Panjang","Pastikan tidak ada jawaban yang tercentang pada kolom KUNCI",IF(A209="Esai Koreksi Otomatis","Kunci jawaban adalah teks opsi dan centang opsi tersebut pada kolom KUNCI","ISIKAN JODOHNYA PADA KOLOM KUNCI")))))</f>
        <v/>
      </c>
      <c r="G209" s="56" t="str">
        <f>IF(LEN(A209)&lt;1,"",IF(AA209=FALSE,"Ada kesalahan, mohon perhatikan kolom KETERANGAN",""))</f>
        <v/>
      </c>
      <c r="H209" s="40"/>
      <c r="I209" s="40"/>
      <c r="J209" s="46"/>
      <c r="K209" s="47"/>
      <c r="M209" s="25">
        <f t="shared" si="308"/>
        <v>0</v>
      </c>
      <c r="N209" s="25" t="str">
        <f t="shared" si="327"/>
        <v/>
      </c>
      <c r="O209" s="26" t="str">
        <f t="shared" si="309"/>
        <v/>
      </c>
      <c r="P209" s="26">
        <f t="shared" si="310"/>
        <v>0</v>
      </c>
      <c r="Q209" s="20" t="s">
        <v>41</v>
      </c>
      <c r="R209" s="20">
        <f t="shared" si="302"/>
        <v>0</v>
      </c>
      <c r="S209" s="20">
        <f t="shared" si="303"/>
        <v>0</v>
      </c>
      <c r="T209" s="20">
        <f t="shared" si="311"/>
        <v>0</v>
      </c>
      <c r="U209" s="20">
        <f t="shared" si="312"/>
        <v>0</v>
      </c>
      <c r="V209" s="20" t="str">
        <f t="shared" si="304"/>
        <v/>
      </c>
      <c r="W209" s="20" t="str">
        <f t="shared" si="305"/>
        <v/>
      </c>
      <c r="X209" s="20" t="str">
        <f t="shared" si="313"/>
        <v/>
      </c>
      <c r="Y209">
        <f t="shared" si="314"/>
        <v>0</v>
      </c>
      <c r="Z209">
        <f t="shared" si="315"/>
        <v>0</v>
      </c>
      <c r="AA209" s="14" t="b">
        <f t="shared" si="306"/>
        <v>0</v>
      </c>
      <c r="AB209" s="28" t="str">
        <f t="shared" si="316"/>
        <v/>
      </c>
      <c r="AC209" s="20" t="str">
        <f t="shared" si="317"/>
        <v/>
      </c>
      <c r="AD209" s="20" t="str">
        <f t="shared" si="318"/>
        <v/>
      </c>
    </row>
    <row r="210" spans="1:30" ht="15" customHeight="1">
      <c r="A210" s="54"/>
      <c r="B210" s="60"/>
      <c r="C210" s="33" t="str">
        <f t="shared" ref="C210" si="335">IF(C209="Teks Uraian","",IF(OR(LEN(C209)&lt;1,LEN(D210)&lt;1),"","A"))</f>
        <v/>
      </c>
      <c r="D210" s="38"/>
      <c r="E210" s="44"/>
      <c r="F210" s="52"/>
      <c r="G210" s="57"/>
      <c r="H210" s="38"/>
      <c r="I210" s="38"/>
      <c r="J210" s="48"/>
      <c r="K210" s="49"/>
      <c r="M210" s="25">
        <f t="shared" si="308"/>
        <v>0</v>
      </c>
      <c r="N210" s="25" t="str">
        <f t="shared" si="327"/>
        <v/>
      </c>
      <c r="O210" s="26" t="str">
        <f t="shared" si="309"/>
        <v/>
      </c>
      <c r="P210" s="26">
        <f t="shared" si="310"/>
        <v>0</v>
      </c>
      <c r="Q210" s="20" t="s">
        <v>41</v>
      </c>
      <c r="R210" s="20">
        <f t="shared" si="302"/>
        <v>0</v>
      </c>
      <c r="S210" s="20">
        <f t="shared" si="303"/>
        <v>0</v>
      </c>
      <c r="T210" s="20">
        <f t="shared" si="311"/>
        <v>0</v>
      </c>
      <c r="U210" s="20">
        <f t="shared" si="312"/>
        <v>0</v>
      </c>
      <c r="V210" s="20" t="str">
        <f t="shared" si="304"/>
        <v/>
      </c>
      <c r="W210" s="20" t="str">
        <f t="shared" si="305"/>
        <v/>
      </c>
      <c r="X210" s="20" t="str">
        <f t="shared" si="313"/>
        <v/>
      </c>
      <c r="Y210">
        <f t="shared" si="314"/>
        <v>0</v>
      </c>
      <c r="Z210">
        <f t="shared" si="315"/>
        <v>0</v>
      </c>
      <c r="AA210" s="14" t="b">
        <f t="shared" si="306"/>
        <v>0</v>
      </c>
      <c r="AB210" s="28" t="str">
        <f t="shared" si="316"/>
        <v/>
      </c>
      <c r="AC210" s="20" t="str">
        <f t="shared" si="317"/>
        <v/>
      </c>
      <c r="AD210" s="20" t="str">
        <f t="shared" si="318"/>
        <v/>
      </c>
    </row>
    <row r="211" spans="1:30" ht="15" customHeight="1">
      <c r="A211" s="54"/>
      <c r="B211" s="60"/>
      <c r="C211" s="33" t="str">
        <f t="shared" ref="C211" si="336">IF(OR(LEN(C210)&lt;1,LEN(D210)&lt;1),"","B")</f>
        <v/>
      </c>
      <c r="D211" s="38"/>
      <c r="E211" s="44"/>
      <c r="F211" s="52"/>
      <c r="G211" s="57"/>
      <c r="H211" s="38"/>
      <c r="I211" s="38"/>
      <c r="J211" s="48"/>
      <c r="K211" s="49"/>
      <c r="M211" s="25">
        <f t="shared" si="308"/>
        <v>0</v>
      </c>
      <c r="N211" s="25" t="str">
        <f t="shared" si="327"/>
        <v/>
      </c>
      <c r="O211" s="26" t="str">
        <f t="shared" si="309"/>
        <v/>
      </c>
      <c r="P211" s="26">
        <f t="shared" si="310"/>
        <v>0</v>
      </c>
      <c r="Q211" s="20" t="s">
        <v>41</v>
      </c>
      <c r="R211" s="20">
        <f t="shared" si="302"/>
        <v>0</v>
      </c>
      <c r="S211" s="20">
        <f t="shared" si="303"/>
        <v>0</v>
      </c>
      <c r="T211" s="20">
        <f t="shared" si="311"/>
        <v>0</v>
      </c>
      <c r="U211" s="20">
        <f t="shared" si="312"/>
        <v>0</v>
      </c>
      <c r="V211" s="20" t="str">
        <f t="shared" si="304"/>
        <v/>
      </c>
      <c r="W211" s="20" t="str">
        <f t="shared" si="305"/>
        <v/>
      </c>
      <c r="X211" s="20" t="str">
        <f t="shared" si="313"/>
        <v/>
      </c>
      <c r="Y211">
        <f t="shared" si="314"/>
        <v>0</v>
      </c>
      <c r="Z211">
        <f t="shared" si="315"/>
        <v>0</v>
      </c>
      <c r="AA211" s="14" t="b">
        <f t="shared" si="306"/>
        <v>0</v>
      </c>
      <c r="AB211" s="28" t="str">
        <f t="shared" si="316"/>
        <v/>
      </c>
      <c r="AC211" s="20" t="str">
        <f t="shared" si="317"/>
        <v/>
      </c>
      <c r="AD211" s="20" t="str">
        <f t="shared" si="318"/>
        <v/>
      </c>
    </row>
    <row r="212" spans="1:30" ht="15" customHeight="1">
      <c r="A212" s="54"/>
      <c r="B212" s="60"/>
      <c r="C212" s="33" t="str">
        <f t="shared" ref="C212" si="337">IF(OR(LEN(C211)&lt;1,LEN(D212)&lt;1),"","C")</f>
        <v/>
      </c>
      <c r="D212" s="38"/>
      <c r="E212" s="42"/>
      <c r="F212" s="52"/>
      <c r="G212" s="57"/>
      <c r="H212" s="38"/>
      <c r="I212" s="38"/>
      <c r="J212" s="48"/>
      <c r="K212" s="49"/>
      <c r="M212" s="25">
        <f t="shared" si="308"/>
        <v>0</v>
      </c>
      <c r="N212" s="25" t="str">
        <f t="shared" si="327"/>
        <v/>
      </c>
      <c r="O212" s="26" t="str">
        <f t="shared" si="309"/>
        <v/>
      </c>
      <c r="P212" s="26">
        <f t="shared" si="310"/>
        <v>0</v>
      </c>
      <c r="Q212" s="20" t="s">
        <v>41</v>
      </c>
      <c r="R212" s="20">
        <f t="shared" si="302"/>
        <v>0</v>
      </c>
      <c r="S212" s="20">
        <f t="shared" si="303"/>
        <v>0</v>
      </c>
      <c r="T212" s="20">
        <f t="shared" si="311"/>
        <v>0</v>
      </c>
      <c r="U212" s="20">
        <f t="shared" si="312"/>
        <v>0</v>
      </c>
      <c r="V212" s="20" t="str">
        <f t="shared" si="304"/>
        <v/>
      </c>
      <c r="W212" s="20" t="str">
        <f t="shared" si="305"/>
        <v/>
      </c>
      <c r="X212" s="20" t="str">
        <f t="shared" si="313"/>
        <v/>
      </c>
      <c r="Y212">
        <f t="shared" si="314"/>
        <v>0</v>
      </c>
      <c r="Z212">
        <f t="shared" si="315"/>
        <v>0</v>
      </c>
      <c r="AA212" s="14" t="b">
        <f t="shared" si="306"/>
        <v>0</v>
      </c>
      <c r="AB212" s="28" t="str">
        <f t="shared" si="316"/>
        <v/>
      </c>
      <c r="AC212" s="20" t="str">
        <f t="shared" si="317"/>
        <v/>
      </c>
      <c r="AD212" s="20" t="str">
        <f t="shared" si="318"/>
        <v/>
      </c>
    </row>
    <row r="213" spans="1:30" ht="15" customHeight="1">
      <c r="A213" s="54"/>
      <c r="B213" s="60"/>
      <c r="C213" s="33" t="str">
        <f t="shared" ref="C213" si="338">IF(OR(LEN(C212)&lt;1,LEN(D213)&lt;1),"","D")</f>
        <v/>
      </c>
      <c r="D213" s="38"/>
      <c r="E213" s="44"/>
      <c r="F213" s="52"/>
      <c r="G213" s="57"/>
      <c r="H213" s="38"/>
      <c r="I213" s="38"/>
      <c r="J213" s="48"/>
      <c r="K213" s="49"/>
      <c r="M213" s="25">
        <f t="shared" si="308"/>
        <v>0</v>
      </c>
      <c r="N213" s="25" t="str">
        <f t="shared" si="327"/>
        <v/>
      </c>
      <c r="O213" s="26" t="str">
        <f t="shared" si="309"/>
        <v/>
      </c>
      <c r="P213" s="26">
        <f t="shared" si="310"/>
        <v>0</v>
      </c>
      <c r="Q213" s="20" t="s">
        <v>41</v>
      </c>
      <c r="R213" s="20">
        <f t="shared" si="302"/>
        <v>0</v>
      </c>
      <c r="S213" s="20">
        <f t="shared" si="303"/>
        <v>0</v>
      </c>
      <c r="T213" s="20">
        <f t="shared" si="311"/>
        <v>0</v>
      </c>
      <c r="U213" s="20">
        <f t="shared" si="312"/>
        <v>0</v>
      </c>
      <c r="V213" s="20" t="str">
        <f t="shared" si="304"/>
        <v/>
      </c>
      <c r="W213" s="20" t="str">
        <f t="shared" si="305"/>
        <v/>
      </c>
      <c r="X213" s="20" t="str">
        <f t="shared" si="313"/>
        <v/>
      </c>
      <c r="Y213">
        <f t="shared" si="314"/>
        <v>0</v>
      </c>
      <c r="Z213">
        <f t="shared" si="315"/>
        <v>0</v>
      </c>
      <c r="AA213" s="14" t="b">
        <f t="shared" si="306"/>
        <v>0</v>
      </c>
      <c r="AB213" s="28" t="str">
        <f t="shared" si="316"/>
        <v/>
      </c>
      <c r="AC213" s="20" t="str">
        <f t="shared" si="317"/>
        <v/>
      </c>
      <c r="AD213" s="20" t="str">
        <f t="shared" si="318"/>
        <v/>
      </c>
    </row>
    <row r="214" spans="1:30" ht="15.75" customHeight="1" thickBot="1">
      <c r="A214" s="55"/>
      <c r="B214" s="61"/>
      <c r="C214" s="36" t="str">
        <f t="shared" ref="C214" si="339">IF(OR(LEN(C213)&lt;1,LEN(D214)&lt;1),"","E")</f>
        <v/>
      </c>
      <c r="D214" s="39"/>
      <c r="E214" s="45"/>
      <c r="F214" s="53"/>
      <c r="G214" s="58"/>
      <c r="H214" s="39"/>
      <c r="I214" s="39"/>
      <c r="J214" s="39"/>
      <c r="K214" s="50"/>
      <c r="M214" s="25">
        <f t="shared" si="308"/>
        <v>0</v>
      </c>
      <c r="N214" s="25" t="str">
        <f t="shared" si="327"/>
        <v/>
      </c>
      <c r="O214" s="26" t="str">
        <f t="shared" si="309"/>
        <v/>
      </c>
      <c r="P214" s="26">
        <f t="shared" si="310"/>
        <v>0</v>
      </c>
      <c r="Q214" s="20" t="s">
        <v>41</v>
      </c>
      <c r="R214" s="20">
        <f t="shared" si="302"/>
        <v>0</v>
      </c>
      <c r="S214" s="20">
        <f t="shared" si="303"/>
        <v>0</v>
      </c>
      <c r="T214" s="20">
        <f t="shared" si="311"/>
        <v>0</v>
      </c>
      <c r="U214" s="20">
        <f t="shared" si="312"/>
        <v>0</v>
      </c>
      <c r="V214" s="20" t="str">
        <f t="shared" si="304"/>
        <v/>
      </c>
      <c r="W214" s="20" t="str">
        <f t="shared" si="305"/>
        <v/>
      </c>
      <c r="X214" s="20" t="str">
        <f t="shared" si="313"/>
        <v/>
      </c>
      <c r="Y214">
        <f t="shared" si="314"/>
        <v>0</v>
      </c>
      <c r="Z214">
        <f t="shared" si="315"/>
        <v>0</v>
      </c>
      <c r="AA214" s="14" t="b">
        <f t="shared" si="306"/>
        <v>0</v>
      </c>
      <c r="AB214" s="28" t="str">
        <f t="shared" si="316"/>
        <v/>
      </c>
      <c r="AC214" s="20" t="str">
        <f t="shared" si="317"/>
        <v/>
      </c>
      <c r="AD214" s="20" t="str">
        <f t="shared" si="318"/>
        <v/>
      </c>
    </row>
    <row r="215" spans="1:30" ht="15" customHeight="1">
      <c r="A215" s="54"/>
      <c r="B215" s="59" t="str">
        <f t="shared" ref="B215" si="340">IF(LEN(A215)&lt;1,"",IF(ISBLANK(B209),"",B209+1))</f>
        <v/>
      </c>
      <c r="C215" s="35" t="str">
        <f t="shared" ref="C215" si="341">IF(ISBLANK(A215),"",IF(A215="Uraian Panjang","Teks Uraian","Teks Soal"))</f>
        <v/>
      </c>
      <c r="D215" s="40"/>
      <c r="E215" s="41"/>
      <c r="F215" s="52" t="str">
        <f t="shared" ref="F215" si="342">IF(ISBLANK(A215),"",IF(A215="Pilihan Ganda","Centang salah satu jawaban disamping pada kolom KUNCI",IF(A215="Jawaban Jamak","Centang beberapa jawaban disamping pada kolom KUNCI",IF(A215="Uraian Panjang","Pastikan tidak ada jawaban yang tercentang pada kolom KUNCI",IF(A215="Esai Koreksi Otomatis","Kunci jawaban adalah teks opsi dan centang opsi tersebut pada kolom KUNCI","ISIKAN JODOHNYA PADA KOLOM KUNCI")))))</f>
        <v/>
      </c>
      <c r="G215" s="56" t="str">
        <f>IF(LEN(A215)&lt;1,"",IF(AA215=FALSE,"Ada kesalahan, mohon perhatikan kolom KETERANGAN",""))</f>
        <v/>
      </c>
      <c r="H215" s="40"/>
      <c r="I215" s="40"/>
      <c r="J215" s="46"/>
      <c r="K215" s="47"/>
      <c r="M215" s="25">
        <f t="shared" si="308"/>
        <v>0</v>
      </c>
      <c r="N215" s="25" t="str">
        <f t="shared" si="327"/>
        <v/>
      </c>
      <c r="O215" s="26" t="str">
        <f t="shared" si="309"/>
        <v/>
      </c>
      <c r="P215" s="26">
        <f t="shared" si="310"/>
        <v>0</v>
      </c>
      <c r="Q215" s="20" t="s">
        <v>41</v>
      </c>
      <c r="R215" s="20">
        <f t="shared" si="302"/>
        <v>0</v>
      </c>
      <c r="S215" s="20">
        <f t="shared" si="303"/>
        <v>0</v>
      </c>
      <c r="T215" s="20">
        <f t="shared" si="311"/>
        <v>0</v>
      </c>
      <c r="U215" s="20">
        <f t="shared" si="312"/>
        <v>0</v>
      </c>
      <c r="V215" s="20" t="str">
        <f t="shared" si="304"/>
        <v/>
      </c>
      <c r="W215" s="20" t="str">
        <f t="shared" si="305"/>
        <v/>
      </c>
      <c r="X215" s="20" t="str">
        <f t="shared" si="313"/>
        <v/>
      </c>
      <c r="Y215">
        <f t="shared" si="314"/>
        <v>0</v>
      </c>
      <c r="Z215">
        <f t="shared" si="315"/>
        <v>0</v>
      </c>
      <c r="AA215" s="14" t="b">
        <f t="shared" si="306"/>
        <v>0</v>
      </c>
      <c r="AB215" s="28" t="str">
        <f t="shared" si="316"/>
        <v/>
      </c>
      <c r="AC215" s="20" t="str">
        <f t="shared" si="317"/>
        <v/>
      </c>
      <c r="AD215" s="20" t="str">
        <f t="shared" si="318"/>
        <v/>
      </c>
    </row>
    <row r="216" spans="1:30" ht="15" customHeight="1">
      <c r="A216" s="54"/>
      <c r="B216" s="60"/>
      <c r="C216" s="33" t="str">
        <f t="shared" ref="C216" si="343">IF(C215="Teks Uraian","",IF(OR(LEN(C215)&lt;1,LEN(D216)&lt;1),"","A"))</f>
        <v/>
      </c>
      <c r="D216" s="38"/>
      <c r="E216" s="44"/>
      <c r="F216" s="52"/>
      <c r="G216" s="57"/>
      <c r="H216" s="38"/>
      <c r="I216" s="38"/>
      <c r="J216" s="48"/>
      <c r="K216" s="49"/>
      <c r="M216" s="25">
        <f t="shared" si="308"/>
        <v>0</v>
      </c>
      <c r="N216" s="25" t="str">
        <f t="shared" si="327"/>
        <v/>
      </c>
      <c r="O216" s="26" t="str">
        <f t="shared" si="309"/>
        <v/>
      </c>
      <c r="P216" s="26">
        <f t="shared" si="310"/>
        <v>0</v>
      </c>
      <c r="Q216" s="20" t="s">
        <v>41</v>
      </c>
      <c r="R216" s="20">
        <f t="shared" si="302"/>
        <v>0</v>
      </c>
      <c r="S216" s="20">
        <f t="shared" si="303"/>
        <v>0</v>
      </c>
      <c r="T216" s="20">
        <f t="shared" si="311"/>
        <v>0</v>
      </c>
      <c r="U216" s="20">
        <f t="shared" si="312"/>
        <v>0</v>
      </c>
      <c r="V216" s="20" t="str">
        <f t="shared" si="304"/>
        <v/>
      </c>
      <c r="W216" s="20" t="str">
        <f t="shared" si="305"/>
        <v/>
      </c>
      <c r="X216" s="20" t="str">
        <f t="shared" si="313"/>
        <v/>
      </c>
      <c r="Y216">
        <f t="shared" si="314"/>
        <v>0</v>
      </c>
      <c r="Z216">
        <f t="shared" si="315"/>
        <v>0</v>
      </c>
      <c r="AA216" s="14" t="b">
        <f t="shared" si="306"/>
        <v>0</v>
      </c>
      <c r="AB216" s="28" t="str">
        <f t="shared" si="316"/>
        <v/>
      </c>
      <c r="AC216" s="20" t="str">
        <f t="shared" si="317"/>
        <v/>
      </c>
      <c r="AD216" s="20" t="str">
        <f t="shared" si="318"/>
        <v/>
      </c>
    </row>
    <row r="217" spans="1:30" ht="15" customHeight="1">
      <c r="A217" s="54"/>
      <c r="B217" s="60"/>
      <c r="C217" s="33" t="str">
        <f t="shared" ref="C217" si="344">IF(OR(LEN(C216)&lt;1,LEN(D216)&lt;1),"","B")</f>
        <v/>
      </c>
      <c r="D217" s="38"/>
      <c r="E217" s="44"/>
      <c r="F217" s="52"/>
      <c r="G217" s="57"/>
      <c r="H217" s="38"/>
      <c r="I217" s="38"/>
      <c r="J217" s="48"/>
      <c r="K217" s="49"/>
      <c r="M217" s="25">
        <f t="shared" si="308"/>
        <v>0</v>
      </c>
      <c r="N217" s="25" t="str">
        <f t="shared" si="327"/>
        <v/>
      </c>
      <c r="O217" s="26" t="str">
        <f t="shared" si="309"/>
        <v/>
      </c>
      <c r="P217" s="26">
        <f t="shared" si="310"/>
        <v>0</v>
      </c>
      <c r="Q217" s="20" t="s">
        <v>41</v>
      </c>
      <c r="R217" s="20">
        <f t="shared" si="302"/>
        <v>0</v>
      </c>
      <c r="S217" s="20">
        <f t="shared" si="303"/>
        <v>0</v>
      </c>
      <c r="T217" s="20">
        <f t="shared" si="311"/>
        <v>0</v>
      </c>
      <c r="U217" s="20">
        <f t="shared" si="312"/>
        <v>0</v>
      </c>
      <c r="V217" s="20" t="str">
        <f t="shared" si="304"/>
        <v/>
      </c>
      <c r="W217" s="20" t="str">
        <f t="shared" si="305"/>
        <v/>
      </c>
      <c r="X217" s="20" t="str">
        <f t="shared" si="313"/>
        <v/>
      </c>
      <c r="Y217">
        <f t="shared" si="314"/>
        <v>0</v>
      </c>
      <c r="Z217">
        <f t="shared" si="315"/>
        <v>0</v>
      </c>
      <c r="AA217" s="14" t="b">
        <f t="shared" si="306"/>
        <v>0</v>
      </c>
      <c r="AB217" s="28" t="str">
        <f t="shared" si="316"/>
        <v/>
      </c>
      <c r="AC217" s="20" t="str">
        <f t="shared" si="317"/>
        <v/>
      </c>
      <c r="AD217" s="20" t="str">
        <f t="shared" si="318"/>
        <v/>
      </c>
    </row>
    <row r="218" spans="1:30" ht="15" customHeight="1">
      <c r="A218" s="54"/>
      <c r="B218" s="60"/>
      <c r="C218" s="33" t="str">
        <f t="shared" ref="C218" si="345">IF(OR(LEN(C217)&lt;1,LEN(D218)&lt;1),"","C")</f>
        <v/>
      </c>
      <c r="D218" s="38"/>
      <c r="E218" s="42"/>
      <c r="F218" s="52"/>
      <c r="G218" s="57"/>
      <c r="H218" s="38"/>
      <c r="I218" s="38"/>
      <c r="J218" s="48"/>
      <c r="K218" s="49"/>
      <c r="M218" s="25">
        <f t="shared" si="308"/>
        <v>0</v>
      </c>
      <c r="N218" s="25" t="str">
        <f t="shared" si="327"/>
        <v/>
      </c>
      <c r="O218" s="26" t="str">
        <f t="shared" si="309"/>
        <v/>
      </c>
      <c r="P218" s="26">
        <f t="shared" si="310"/>
        <v>0</v>
      </c>
      <c r="Q218" s="20" t="s">
        <v>41</v>
      </c>
      <c r="R218" s="20">
        <f t="shared" si="302"/>
        <v>0</v>
      </c>
      <c r="S218" s="20">
        <f t="shared" si="303"/>
        <v>0</v>
      </c>
      <c r="T218" s="20">
        <f t="shared" si="311"/>
        <v>0</v>
      </c>
      <c r="U218" s="20">
        <f t="shared" si="312"/>
        <v>0</v>
      </c>
      <c r="V218" s="20" t="str">
        <f t="shared" si="304"/>
        <v/>
      </c>
      <c r="W218" s="20" t="str">
        <f t="shared" si="305"/>
        <v/>
      </c>
      <c r="X218" s="20" t="str">
        <f t="shared" si="313"/>
        <v/>
      </c>
      <c r="Y218">
        <f t="shared" si="314"/>
        <v>0</v>
      </c>
      <c r="Z218">
        <f t="shared" si="315"/>
        <v>0</v>
      </c>
      <c r="AA218" s="14" t="b">
        <f t="shared" si="306"/>
        <v>0</v>
      </c>
      <c r="AB218" s="28" t="str">
        <f t="shared" si="316"/>
        <v/>
      </c>
      <c r="AC218" s="20" t="str">
        <f t="shared" si="317"/>
        <v/>
      </c>
      <c r="AD218" s="20" t="str">
        <f t="shared" si="318"/>
        <v/>
      </c>
    </row>
    <row r="219" spans="1:30" ht="15" customHeight="1">
      <c r="A219" s="54"/>
      <c r="B219" s="60"/>
      <c r="C219" s="33" t="str">
        <f t="shared" ref="C219" si="346">IF(OR(LEN(C218)&lt;1,LEN(D219)&lt;1),"","D")</f>
        <v/>
      </c>
      <c r="D219" s="38"/>
      <c r="E219" s="44"/>
      <c r="F219" s="52"/>
      <c r="G219" s="57"/>
      <c r="H219" s="38"/>
      <c r="I219" s="38"/>
      <c r="J219" s="48"/>
      <c r="K219" s="49"/>
      <c r="M219" s="25">
        <f t="shared" si="308"/>
        <v>0</v>
      </c>
      <c r="N219" s="25" t="str">
        <f t="shared" si="327"/>
        <v/>
      </c>
      <c r="O219" s="26" t="str">
        <f t="shared" si="309"/>
        <v/>
      </c>
      <c r="P219" s="26">
        <f t="shared" si="310"/>
        <v>0</v>
      </c>
      <c r="Q219" s="20" t="s">
        <v>41</v>
      </c>
      <c r="R219" s="20">
        <f t="shared" si="302"/>
        <v>0</v>
      </c>
      <c r="S219" s="20">
        <f t="shared" si="303"/>
        <v>0</v>
      </c>
      <c r="T219" s="20">
        <f t="shared" si="311"/>
        <v>0</v>
      </c>
      <c r="U219" s="20">
        <f t="shared" si="312"/>
        <v>0</v>
      </c>
      <c r="V219" s="20" t="str">
        <f t="shared" si="304"/>
        <v/>
      </c>
      <c r="W219" s="20" t="str">
        <f t="shared" si="305"/>
        <v/>
      </c>
      <c r="X219" s="20" t="str">
        <f t="shared" si="313"/>
        <v/>
      </c>
      <c r="Y219">
        <f t="shared" si="314"/>
        <v>0</v>
      </c>
      <c r="Z219">
        <f t="shared" si="315"/>
        <v>0</v>
      </c>
      <c r="AA219" s="14" t="b">
        <f t="shared" si="306"/>
        <v>0</v>
      </c>
      <c r="AB219" s="28" t="str">
        <f t="shared" si="316"/>
        <v/>
      </c>
      <c r="AC219" s="20" t="str">
        <f t="shared" si="317"/>
        <v/>
      </c>
      <c r="AD219" s="20" t="str">
        <f t="shared" si="318"/>
        <v/>
      </c>
    </row>
    <row r="220" spans="1:30" ht="15.75" customHeight="1" thickBot="1">
      <c r="A220" s="55"/>
      <c r="B220" s="61"/>
      <c r="C220" s="36" t="str">
        <f t="shared" ref="C220" si="347">IF(OR(LEN(C219)&lt;1,LEN(D220)&lt;1),"","E")</f>
        <v/>
      </c>
      <c r="D220" s="39"/>
      <c r="E220" s="45"/>
      <c r="F220" s="53"/>
      <c r="G220" s="58"/>
      <c r="H220" s="39"/>
      <c r="I220" s="39"/>
      <c r="J220" s="39"/>
      <c r="K220" s="50"/>
      <c r="M220" s="25">
        <f t="shared" si="308"/>
        <v>0</v>
      </c>
      <c r="N220" s="25" t="str">
        <f t="shared" si="327"/>
        <v/>
      </c>
      <c r="O220" s="26" t="str">
        <f t="shared" si="309"/>
        <v/>
      </c>
      <c r="P220" s="26">
        <f t="shared" si="310"/>
        <v>0</v>
      </c>
      <c r="Q220" s="20" t="s">
        <v>41</v>
      </c>
      <c r="R220" s="20">
        <f t="shared" si="302"/>
        <v>0</v>
      </c>
      <c r="S220" s="20">
        <f t="shared" si="303"/>
        <v>0</v>
      </c>
      <c r="T220" s="20">
        <f t="shared" si="311"/>
        <v>0</v>
      </c>
      <c r="U220" s="20">
        <f t="shared" si="312"/>
        <v>0</v>
      </c>
      <c r="V220" s="20" t="str">
        <f t="shared" si="304"/>
        <v/>
      </c>
      <c r="W220" s="20" t="str">
        <f t="shared" si="305"/>
        <v/>
      </c>
      <c r="X220" s="20" t="str">
        <f t="shared" si="313"/>
        <v/>
      </c>
      <c r="Y220">
        <f t="shared" si="314"/>
        <v>0</v>
      </c>
      <c r="Z220">
        <f t="shared" si="315"/>
        <v>0</v>
      </c>
      <c r="AA220" s="14" t="b">
        <f t="shared" si="306"/>
        <v>0</v>
      </c>
      <c r="AB220" s="28" t="str">
        <f t="shared" si="316"/>
        <v/>
      </c>
      <c r="AC220" s="20" t="str">
        <f t="shared" si="317"/>
        <v/>
      </c>
      <c r="AD220" s="20" t="str">
        <f t="shared" si="318"/>
        <v/>
      </c>
    </row>
    <row r="221" spans="1:30" ht="15" customHeight="1">
      <c r="A221" s="54"/>
      <c r="B221" s="59" t="str">
        <f t="shared" ref="B221" si="348">IF(LEN(A221)&lt;1,"",IF(ISBLANK(B215),"",B215+1))</f>
        <v/>
      </c>
      <c r="C221" s="35" t="str">
        <f t="shared" ref="C221" si="349">IF(ISBLANK(A221),"",IF(A221="Uraian Panjang","Teks Uraian","Teks Soal"))</f>
        <v/>
      </c>
      <c r="D221" s="40"/>
      <c r="E221" s="41"/>
      <c r="F221" s="52" t="str">
        <f t="shared" ref="F221" si="350">IF(ISBLANK(A221),"",IF(A221="Pilihan Ganda","Centang salah satu jawaban disamping pada kolom KUNCI",IF(A221="Jawaban Jamak","Centang beberapa jawaban disamping pada kolom KUNCI",IF(A221="Uraian Panjang","Pastikan tidak ada jawaban yang tercentang pada kolom KUNCI",IF(A221="Esai Koreksi Otomatis","Kunci jawaban adalah teks opsi dan centang opsi tersebut pada kolom KUNCI","ISIKAN JODOHNYA PADA KOLOM KUNCI")))))</f>
        <v/>
      </c>
      <c r="G221" s="56" t="str">
        <f>IF(LEN(A221)&lt;1,"",IF(AA221=FALSE,"Ada kesalahan, mohon perhatikan kolom KETERANGAN",""))</f>
        <v/>
      </c>
      <c r="H221" s="40"/>
      <c r="I221" s="40"/>
      <c r="J221" s="46"/>
      <c r="K221" s="47"/>
      <c r="M221" s="25">
        <f t="shared" si="308"/>
        <v>0</v>
      </c>
      <c r="N221" s="25" t="str">
        <f t="shared" si="327"/>
        <v/>
      </c>
      <c r="O221" s="26" t="str">
        <f t="shared" si="309"/>
        <v/>
      </c>
      <c r="P221" s="26">
        <f t="shared" si="310"/>
        <v>0</v>
      </c>
      <c r="Q221" s="20" t="s">
        <v>41</v>
      </c>
      <c r="R221" s="20">
        <f t="shared" si="302"/>
        <v>0</v>
      </c>
      <c r="S221" s="20">
        <f t="shared" si="303"/>
        <v>0</v>
      </c>
      <c r="T221" s="20">
        <f t="shared" si="311"/>
        <v>0</v>
      </c>
      <c r="U221" s="20">
        <f t="shared" si="312"/>
        <v>0</v>
      </c>
      <c r="V221" s="20" t="str">
        <f t="shared" si="304"/>
        <v/>
      </c>
      <c r="W221" s="20" t="str">
        <f t="shared" si="305"/>
        <v/>
      </c>
      <c r="X221" s="20" t="str">
        <f t="shared" si="313"/>
        <v/>
      </c>
      <c r="Y221">
        <f t="shared" si="314"/>
        <v>0</v>
      </c>
      <c r="Z221">
        <f t="shared" si="315"/>
        <v>0</v>
      </c>
      <c r="AA221" s="14" t="b">
        <f t="shared" si="306"/>
        <v>0</v>
      </c>
      <c r="AB221" s="28" t="str">
        <f t="shared" si="316"/>
        <v/>
      </c>
      <c r="AC221" s="20" t="str">
        <f t="shared" si="317"/>
        <v/>
      </c>
      <c r="AD221" s="20" t="str">
        <f t="shared" si="318"/>
        <v/>
      </c>
    </row>
    <row r="222" spans="1:30" ht="15" customHeight="1">
      <c r="A222" s="54"/>
      <c r="B222" s="60"/>
      <c r="C222" s="33" t="str">
        <f t="shared" ref="C222" si="351">IF(C221="Teks Uraian","",IF(OR(LEN(C221)&lt;1,LEN(D222)&lt;1),"","A"))</f>
        <v/>
      </c>
      <c r="D222" s="38"/>
      <c r="E222" s="44"/>
      <c r="F222" s="52"/>
      <c r="G222" s="57"/>
      <c r="H222" s="38"/>
      <c r="I222" s="38"/>
      <c r="J222" s="48"/>
      <c r="K222" s="49"/>
      <c r="M222" s="25">
        <f t="shared" si="308"/>
        <v>0</v>
      </c>
      <c r="N222" s="25" t="str">
        <f t="shared" si="327"/>
        <v/>
      </c>
      <c r="O222" s="26" t="str">
        <f t="shared" si="309"/>
        <v/>
      </c>
      <c r="P222" s="26">
        <f t="shared" si="310"/>
        <v>0</v>
      </c>
      <c r="Q222" s="20" t="s">
        <v>41</v>
      </c>
      <c r="R222" s="20">
        <f t="shared" si="302"/>
        <v>0</v>
      </c>
      <c r="S222" s="20">
        <f t="shared" si="303"/>
        <v>0</v>
      </c>
      <c r="T222" s="20">
        <f t="shared" si="311"/>
        <v>0</v>
      </c>
      <c r="U222" s="20">
        <f t="shared" si="312"/>
        <v>0</v>
      </c>
      <c r="V222" s="20" t="str">
        <f t="shared" si="304"/>
        <v/>
      </c>
      <c r="W222" s="20" t="str">
        <f t="shared" si="305"/>
        <v/>
      </c>
      <c r="X222" s="20" t="str">
        <f t="shared" si="313"/>
        <v/>
      </c>
      <c r="Y222">
        <f t="shared" si="314"/>
        <v>0</v>
      </c>
      <c r="Z222">
        <f t="shared" si="315"/>
        <v>0</v>
      </c>
      <c r="AA222" s="14" t="b">
        <f t="shared" si="306"/>
        <v>0</v>
      </c>
      <c r="AB222" s="28" t="str">
        <f t="shared" si="316"/>
        <v/>
      </c>
      <c r="AC222" s="20" t="str">
        <f t="shared" si="317"/>
        <v/>
      </c>
      <c r="AD222" s="20" t="str">
        <f t="shared" si="318"/>
        <v/>
      </c>
    </row>
    <row r="223" spans="1:30" ht="15" customHeight="1">
      <c r="A223" s="54"/>
      <c r="B223" s="60"/>
      <c r="C223" s="33" t="str">
        <f t="shared" ref="C223" si="352">IF(OR(LEN(C222)&lt;1,LEN(D222)&lt;1),"","B")</f>
        <v/>
      </c>
      <c r="D223" s="38"/>
      <c r="E223" s="44"/>
      <c r="F223" s="52"/>
      <c r="G223" s="57"/>
      <c r="H223" s="38"/>
      <c r="I223" s="38"/>
      <c r="J223" s="48"/>
      <c r="K223" s="49"/>
      <c r="M223" s="25">
        <f t="shared" si="308"/>
        <v>0</v>
      </c>
      <c r="N223" s="25" t="str">
        <f t="shared" si="327"/>
        <v/>
      </c>
      <c r="O223" s="26" t="str">
        <f t="shared" si="309"/>
        <v/>
      </c>
      <c r="P223" s="26">
        <f t="shared" si="310"/>
        <v>0</v>
      </c>
      <c r="Q223" s="20" t="s">
        <v>41</v>
      </c>
      <c r="R223" s="20">
        <f t="shared" si="302"/>
        <v>0</v>
      </c>
      <c r="S223" s="20">
        <f t="shared" si="303"/>
        <v>0</v>
      </c>
      <c r="T223" s="20">
        <f t="shared" si="311"/>
        <v>0</v>
      </c>
      <c r="U223" s="20">
        <f t="shared" si="312"/>
        <v>0</v>
      </c>
      <c r="V223" s="20" t="str">
        <f t="shared" si="304"/>
        <v/>
      </c>
      <c r="W223" s="20" t="str">
        <f t="shared" si="305"/>
        <v/>
      </c>
      <c r="X223" s="20" t="str">
        <f t="shared" si="313"/>
        <v/>
      </c>
      <c r="Y223">
        <f t="shared" si="314"/>
        <v>0</v>
      </c>
      <c r="Z223">
        <f t="shared" si="315"/>
        <v>0</v>
      </c>
      <c r="AA223" s="14" t="b">
        <f t="shared" si="306"/>
        <v>0</v>
      </c>
      <c r="AB223" s="28" t="str">
        <f t="shared" si="316"/>
        <v/>
      </c>
      <c r="AC223" s="20" t="str">
        <f t="shared" si="317"/>
        <v/>
      </c>
      <c r="AD223" s="20" t="str">
        <f t="shared" si="318"/>
        <v/>
      </c>
    </row>
    <row r="224" spans="1:30" ht="15" customHeight="1">
      <c r="A224" s="54"/>
      <c r="B224" s="60"/>
      <c r="C224" s="33" t="str">
        <f t="shared" ref="C224" si="353">IF(OR(LEN(C223)&lt;1,LEN(D224)&lt;1),"","C")</f>
        <v/>
      </c>
      <c r="D224" s="38"/>
      <c r="E224" s="42"/>
      <c r="F224" s="52"/>
      <c r="G224" s="57"/>
      <c r="H224" s="38"/>
      <c r="I224" s="38"/>
      <c r="J224" s="48"/>
      <c r="K224" s="49"/>
      <c r="M224" s="25">
        <f t="shared" si="308"/>
        <v>0</v>
      </c>
      <c r="N224" s="25" t="str">
        <f t="shared" si="327"/>
        <v/>
      </c>
      <c r="O224" s="26" t="str">
        <f t="shared" si="309"/>
        <v/>
      </c>
      <c r="P224" s="26">
        <f t="shared" si="310"/>
        <v>0</v>
      </c>
      <c r="Q224" s="20" t="s">
        <v>41</v>
      </c>
      <c r="R224" s="20">
        <f t="shared" si="302"/>
        <v>0</v>
      </c>
      <c r="S224" s="20">
        <f t="shared" si="303"/>
        <v>0</v>
      </c>
      <c r="T224" s="20">
        <f t="shared" si="311"/>
        <v>0</v>
      </c>
      <c r="U224" s="20">
        <f t="shared" si="312"/>
        <v>0</v>
      </c>
      <c r="V224" s="20" t="str">
        <f t="shared" si="304"/>
        <v/>
      </c>
      <c r="W224" s="20" t="str">
        <f t="shared" si="305"/>
        <v/>
      </c>
      <c r="X224" s="20" t="str">
        <f t="shared" si="313"/>
        <v/>
      </c>
      <c r="Y224">
        <f t="shared" si="314"/>
        <v>0</v>
      </c>
      <c r="Z224">
        <f t="shared" si="315"/>
        <v>0</v>
      </c>
      <c r="AA224" s="14" t="b">
        <f t="shared" si="306"/>
        <v>0</v>
      </c>
      <c r="AB224" s="28" t="str">
        <f t="shared" si="316"/>
        <v/>
      </c>
      <c r="AC224" s="20" t="str">
        <f t="shared" si="317"/>
        <v/>
      </c>
      <c r="AD224" s="20" t="str">
        <f t="shared" si="318"/>
        <v/>
      </c>
    </row>
    <row r="225" spans="1:30" ht="15" customHeight="1">
      <c r="A225" s="54"/>
      <c r="B225" s="60"/>
      <c r="C225" s="33" t="str">
        <f t="shared" ref="C225" si="354">IF(OR(LEN(C224)&lt;1,LEN(D225)&lt;1),"","D")</f>
        <v/>
      </c>
      <c r="D225" s="38"/>
      <c r="E225" s="44"/>
      <c r="F225" s="52"/>
      <c r="G225" s="57"/>
      <c r="H225" s="38"/>
      <c r="I225" s="38"/>
      <c r="J225" s="48"/>
      <c r="K225" s="49"/>
      <c r="M225" s="25">
        <f t="shared" si="308"/>
        <v>0</v>
      </c>
      <c r="N225" s="25" t="str">
        <f t="shared" si="327"/>
        <v/>
      </c>
      <c r="O225" s="26" t="str">
        <f t="shared" si="309"/>
        <v/>
      </c>
      <c r="P225" s="26">
        <f t="shared" si="310"/>
        <v>0</v>
      </c>
      <c r="Q225" s="20" t="s">
        <v>41</v>
      </c>
      <c r="R225" s="20">
        <f t="shared" si="302"/>
        <v>0</v>
      </c>
      <c r="S225" s="20">
        <f t="shared" si="303"/>
        <v>0</v>
      </c>
      <c r="T225" s="20">
        <f t="shared" si="311"/>
        <v>0</v>
      </c>
      <c r="U225" s="20">
        <f t="shared" si="312"/>
        <v>0</v>
      </c>
      <c r="V225" s="20" t="str">
        <f t="shared" si="304"/>
        <v/>
      </c>
      <c r="W225" s="20" t="str">
        <f t="shared" si="305"/>
        <v/>
      </c>
      <c r="X225" s="20" t="str">
        <f t="shared" si="313"/>
        <v/>
      </c>
      <c r="Y225">
        <f t="shared" si="314"/>
        <v>0</v>
      </c>
      <c r="Z225">
        <f t="shared" si="315"/>
        <v>0</v>
      </c>
      <c r="AA225" s="14" t="b">
        <f t="shared" si="306"/>
        <v>0</v>
      </c>
      <c r="AB225" s="28" t="str">
        <f t="shared" si="316"/>
        <v/>
      </c>
      <c r="AC225" s="20" t="str">
        <f t="shared" si="317"/>
        <v/>
      </c>
      <c r="AD225" s="20" t="str">
        <f t="shared" si="318"/>
        <v/>
      </c>
    </row>
    <row r="226" spans="1:30" ht="15.75" customHeight="1" thickBot="1">
      <c r="A226" s="55"/>
      <c r="B226" s="61"/>
      <c r="C226" s="36" t="str">
        <f t="shared" ref="C226" si="355">IF(OR(LEN(C225)&lt;1,LEN(D226)&lt;1),"","E")</f>
        <v/>
      </c>
      <c r="D226" s="39"/>
      <c r="E226" s="45"/>
      <c r="F226" s="53"/>
      <c r="G226" s="58"/>
      <c r="H226" s="39"/>
      <c r="I226" s="39"/>
      <c r="J226" s="39"/>
      <c r="K226" s="50"/>
      <c r="M226" s="25">
        <f t="shared" si="308"/>
        <v>0</v>
      </c>
      <c r="N226" s="25" t="str">
        <f t="shared" si="327"/>
        <v/>
      </c>
      <c r="O226" s="26" t="str">
        <f t="shared" si="309"/>
        <v/>
      </c>
      <c r="P226" s="26">
        <f t="shared" si="310"/>
        <v>0</v>
      </c>
      <c r="Q226" s="20" t="s">
        <v>41</v>
      </c>
      <c r="R226" s="20">
        <f t="shared" si="302"/>
        <v>0</v>
      </c>
      <c r="S226" s="20">
        <f t="shared" si="303"/>
        <v>0</v>
      </c>
      <c r="T226" s="20">
        <f t="shared" si="311"/>
        <v>0</v>
      </c>
      <c r="U226" s="20">
        <f t="shared" si="312"/>
        <v>0</v>
      </c>
      <c r="V226" s="20" t="str">
        <f t="shared" si="304"/>
        <v/>
      </c>
      <c r="W226" s="20" t="str">
        <f t="shared" si="305"/>
        <v/>
      </c>
      <c r="X226" s="20" t="str">
        <f t="shared" si="313"/>
        <v/>
      </c>
      <c r="Y226">
        <f t="shared" si="314"/>
        <v>0</v>
      </c>
      <c r="Z226">
        <f t="shared" si="315"/>
        <v>0</v>
      </c>
      <c r="AA226" s="14" t="b">
        <f t="shared" si="306"/>
        <v>0</v>
      </c>
      <c r="AB226" s="28" t="str">
        <f t="shared" si="316"/>
        <v/>
      </c>
      <c r="AC226" s="20" t="str">
        <f t="shared" si="317"/>
        <v/>
      </c>
      <c r="AD226" s="20" t="str">
        <f t="shared" si="318"/>
        <v/>
      </c>
    </row>
    <row r="227" spans="1:30" ht="15" customHeight="1">
      <c r="A227" s="54"/>
      <c r="B227" s="59" t="str">
        <f t="shared" ref="B227" si="356">IF(LEN(A227)&lt;1,"",IF(ISBLANK(B221),"",B221+1))</f>
        <v/>
      </c>
      <c r="C227" s="35" t="str">
        <f t="shared" ref="C227" si="357">IF(ISBLANK(A227),"",IF(A227="Uraian Panjang","Teks Uraian","Teks Soal"))</f>
        <v/>
      </c>
      <c r="D227" s="40"/>
      <c r="E227" s="41"/>
      <c r="F227" s="52" t="str">
        <f t="shared" ref="F227" si="358">IF(ISBLANK(A227),"",IF(A227="Pilihan Ganda","Centang salah satu jawaban disamping pada kolom KUNCI",IF(A227="Jawaban Jamak","Centang beberapa jawaban disamping pada kolom KUNCI",IF(A227="Uraian Panjang","Pastikan tidak ada jawaban yang tercentang pada kolom KUNCI",IF(A227="Esai Koreksi Otomatis","Kunci jawaban adalah teks opsi dan centang opsi tersebut pada kolom KUNCI","ISIKAN JODOHNYA PADA KOLOM KUNCI")))))</f>
        <v/>
      </c>
      <c r="G227" s="56" t="str">
        <f>IF(LEN(A227)&lt;1,"",IF(AA227=FALSE,"Ada kesalahan, mohon perhatikan kolom KETERANGAN",""))</f>
        <v/>
      </c>
      <c r="H227" s="40"/>
      <c r="I227" s="40"/>
      <c r="J227" s="46"/>
      <c r="K227" s="47"/>
      <c r="M227" s="25">
        <f t="shared" si="308"/>
        <v>0</v>
      </c>
      <c r="N227" s="25" t="str">
        <f t="shared" si="327"/>
        <v/>
      </c>
      <c r="O227" s="26" t="str">
        <f t="shared" si="309"/>
        <v/>
      </c>
      <c r="P227" s="26">
        <f t="shared" si="310"/>
        <v>0</v>
      </c>
      <c r="Q227" s="20" t="s">
        <v>41</v>
      </c>
      <c r="R227" s="20">
        <f t="shared" si="302"/>
        <v>0</v>
      </c>
      <c r="S227" s="20">
        <f t="shared" si="303"/>
        <v>0</v>
      </c>
      <c r="T227" s="20">
        <f t="shared" si="311"/>
        <v>0</v>
      </c>
      <c r="U227" s="20">
        <f t="shared" si="312"/>
        <v>0</v>
      </c>
      <c r="V227" s="20" t="str">
        <f t="shared" si="304"/>
        <v/>
      </c>
      <c r="W227" s="20" t="str">
        <f t="shared" si="305"/>
        <v/>
      </c>
      <c r="X227" s="20" t="str">
        <f t="shared" si="313"/>
        <v/>
      </c>
      <c r="Y227">
        <f t="shared" si="314"/>
        <v>0</v>
      </c>
      <c r="Z227">
        <f t="shared" si="315"/>
        <v>0</v>
      </c>
      <c r="AA227" s="14" t="b">
        <f t="shared" si="306"/>
        <v>0</v>
      </c>
      <c r="AB227" s="28" t="str">
        <f t="shared" si="316"/>
        <v/>
      </c>
      <c r="AC227" s="20" t="str">
        <f t="shared" si="317"/>
        <v/>
      </c>
      <c r="AD227" s="20" t="str">
        <f t="shared" si="318"/>
        <v/>
      </c>
    </row>
    <row r="228" spans="1:30" ht="15" customHeight="1">
      <c r="A228" s="54"/>
      <c r="B228" s="60"/>
      <c r="C228" s="33" t="str">
        <f t="shared" ref="C228" si="359">IF(C227="Teks Uraian","",IF(OR(LEN(C227)&lt;1,LEN(D228)&lt;1),"","A"))</f>
        <v/>
      </c>
      <c r="D228" s="38"/>
      <c r="E228" s="44"/>
      <c r="F228" s="52"/>
      <c r="G228" s="57"/>
      <c r="H228" s="38"/>
      <c r="I228" s="38"/>
      <c r="J228" s="48"/>
      <c r="K228" s="49"/>
      <c r="M228" s="25">
        <f t="shared" si="308"/>
        <v>0</v>
      </c>
      <c r="N228" s="25" t="str">
        <f t="shared" si="327"/>
        <v/>
      </c>
      <c r="O228" s="26" t="str">
        <f t="shared" si="309"/>
        <v/>
      </c>
      <c r="P228" s="26">
        <f t="shared" si="310"/>
        <v>0</v>
      </c>
      <c r="Q228" s="20" t="s">
        <v>41</v>
      </c>
      <c r="R228" s="20">
        <f t="shared" si="302"/>
        <v>0</v>
      </c>
      <c r="S228" s="20">
        <f t="shared" si="303"/>
        <v>0</v>
      </c>
      <c r="T228" s="20">
        <f t="shared" si="311"/>
        <v>0</v>
      </c>
      <c r="U228" s="20">
        <f t="shared" si="312"/>
        <v>0</v>
      </c>
      <c r="V228" s="20" t="str">
        <f t="shared" si="304"/>
        <v/>
      </c>
      <c r="W228" s="20" t="str">
        <f t="shared" si="305"/>
        <v/>
      </c>
      <c r="X228" s="20" t="str">
        <f t="shared" si="313"/>
        <v/>
      </c>
      <c r="Y228">
        <f t="shared" si="314"/>
        <v>0</v>
      </c>
      <c r="Z228">
        <f t="shared" si="315"/>
        <v>0</v>
      </c>
      <c r="AA228" s="14" t="b">
        <f t="shared" si="306"/>
        <v>0</v>
      </c>
      <c r="AB228" s="28" t="str">
        <f t="shared" si="316"/>
        <v/>
      </c>
      <c r="AC228" s="20" t="str">
        <f t="shared" si="317"/>
        <v/>
      </c>
      <c r="AD228" s="20" t="str">
        <f t="shared" si="318"/>
        <v/>
      </c>
    </row>
    <row r="229" spans="1:30" ht="15" customHeight="1">
      <c r="A229" s="54"/>
      <c r="B229" s="60"/>
      <c r="C229" s="33" t="str">
        <f t="shared" ref="C229" si="360">IF(OR(LEN(C228)&lt;1,LEN(D228)&lt;1),"","B")</f>
        <v/>
      </c>
      <c r="D229" s="38"/>
      <c r="E229" s="44"/>
      <c r="F229" s="52"/>
      <c r="G229" s="57"/>
      <c r="H229" s="38"/>
      <c r="I229" s="38"/>
      <c r="J229" s="48"/>
      <c r="K229" s="49"/>
      <c r="M229" s="25">
        <f t="shared" si="308"/>
        <v>0</v>
      </c>
      <c r="N229" s="25" t="str">
        <f t="shared" si="327"/>
        <v/>
      </c>
      <c r="O229" s="26" t="str">
        <f t="shared" si="309"/>
        <v/>
      </c>
      <c r="P229" s="26">
        <f t="shared" si="310"/>
        <v>0</v>
      </c>
      <c r="Q229" s="20" t="s">
        <v>41</v>
      </c>
      <c r="R229" s="20">
        <f t="shared" si="302"/>
        <v>0</v>
      </c>
      <c r="S229" s="20">
        <f t="shared" si="303"/>
        <v>0</v>
      </c>
      <c r="T229" s="20">
        <f t="shared" si="311"/>
        <v>0</v>
      </c>
      <c r="U229" s="20">
        <f t="shared" si="312"/>
        <v>0</v>
      </c>
      <c r="V229" s="20" t="str">
        <f t="shared" si="304"/>
        <v/>
      </c>
      <c r="W229" s="20" t="str">
        <f t="shared" si="305"/>
        <v/>
      </c>
      <c r="X229" s="20" t="str">
        <f t="shared" si="313"/>
        <v/>
      </c>
      <c r="Y229">
        <f t="shared" si="314"/>
        <v>0</v>
      </c>
      <c r="Z229">
        <f t="shared" si="315"/>
        <v>0</v>
      </c>
      <c r="AA229" s="14" t="b">
        <f t="shared" si="306"/>
        <v>0</v>
      </c>
      <c r="AB229" s="28" t="str">
        <f t="shared" si="316"/>
        <v/>
      </c>
      <c r="AC229" s="20" t="str">
        <f t="shared" si="317"/>
        <v/>
      </c>
      <c r="AD229" s="20" t="str">
        <f t="shared" si="318"/>
        <v/>
      </c>
    </row>
    <row r="230" spans="1:30" ht="15" customHeight="1">
      <c r="A230" s="54"/>
      <c r="B230" s="60"/>
      <c r="C230" s="33" t="str">
        <f t="shared" ref="C230" si="361">IF(OR(LEN(C229)&lt;1,LEN(D230)&lt;1),"","C")</f>
        <v/>
      </c>
      <c r="D230" s="38"/>
      <c r="E230" s="42"/>
      <c r="F230" s="52"/>
      <c r="G230" s="57"/>
      <c r="H230" s="38"/>
      <c r="I230" s="38"/>
      <c r="J230" s="48"/>
      <c r="K230" s="49"/>
      <c r="M230" s="25">
        <f t="shared" si="308"/>
        <v>0</v>
      </c>
      <c r="N230" s="25" t="str">
        <f t="shared" si="327"/>
        <v/>
      </c>
      <c r="O230" s="26" t="str">
        <f t="shared" si="309"/>
        <v/>
      </c>
      <c r="P230" s="26">
        <f t="shared" si="310"/>
        <v>0</v>
      </c>
      <c r="Q230" s="20" t="s">
        <v>41</v>
      </c>
      <c r="R230" s="20">
        <f t="shared" si="302"/>
        <v>0</v>
      </c>
      <c r="S230" s="20">
        <f t="shared" si="303"/>
        <v>0</v>
      </c>
      <c r="T230" s="20">
        <f t="shared" si="311"/>
        <v>0</v>
      </c>
      <c r="U230" s="20">
        <f t="shared" si="312"/>
        <v>0</v>
      </c>
      <c r="V230" s="20" t="str">
        <f t="shared" si="304"/>
        <v/>
      </c>
      <c r="W230" s="20" t="str">
        <f t="shared" si="305"/>
        <v/>
      </c>
      <c r="X230" s="20" t="str">
        <f t="shared" si="313"/>
        <v/>
      </c>
      <c r="Y230">
        <f t="shared" si="314"/>
        <v>0</v>
      </c>
      <c r="Z230">
        <f t="shared" si="315"/>
        <v>0</v>
      </c>
      <c r="AA230" s="14" t="b">
        <f t="shared" si="306"/>
        <v>0</v>
      </c>
      <c r="AB230" s="28" t="str">
        <f t="shared" si="316"/>
        <v/>
      </c>
      <c r="AC230" s="20" t="str">
        <f t="shared" si="317"/>
        <v/>
      </c>
      <c r="AD230" s="20" t="str">
        <f t="shared" si="318"/>
        <v/>
      </c>
    </row>
    <row r="231" spans="1:30" ht="15" customHeight="1">
      <c r="A231" s="54"/>
      <c r="B231" s="60"/>
      <c r="C231" s="33" t="str">
        <f t="shared" ref="C231" si="362">IF(OR(LEN(C230)&lt;1,LEN(D231)&lt;1),"","D")</f>
        <v/>
      </c>
      <c r="D231" s="38"/>
      <c r="E231" s="44"/>
      <c r="F231" s="52"/>
      <c r="G231" s="57"/>
      <c r="H231" s="38"/>
      <c r="I231" s="38"/>
      <c r="J231" s="48"/>
      <c r="K231" s="49"/>
      <c r="M231" s="25">
        <f t="shared" si="308"/>
        <v>0</v>
      </c>
      <c r="N231" s="25" t="str">
        <f t="shared" si="327"/>
        <v/>
      </c>
      <c r="O231" s="26" t="str">
        <f t="shared" si="309"/>
        <v/>
      </c>
      <c r="P231" s="26">
        <f t="shared" si="310"/>
        <v>0</v>
      </c>
      <c r="Q231" s="20" t="s">
        <v>41</v>
      </c>
      <c r="R231" s="20">
        <f t="shared" si="302"/>
        <v>0</v>
      </c>
      <c r="S231" s="20">
        <f t="shared" si="303"/>
        <v>0</v>
      </c>
      <c r="T231" s="20">
        <f t="shared" si="311"/>
        <v>0</v>
      </c>
      <c r="U231" s="20">
        <f t="shared" si="312"/>
        <v>0</v>
      </c>
      <c r="V231" s="20" t="str">
        <f t="shared" si="304"/>
        <v/>
      </c>
      <c r="W231" s="20" t="str">
        <f t="shared" si="305"/>
        <v/>
      </c>
      <c r="X231" s="20" t="str">
        <f t="shared" si="313"/>
        <v/>
      </c>
      <c r="Y231">
        <f t="shared" si="314"/>
        <v>0</v>
      </c>
      <c r="Z231">
        <f t="shared" si="315"/>
        <v>0</v>
      </c>
      <c r="AA231" s="14" t="b">
        <f t="shared" si="306"/>
        <v>0</v>
      </c>
      <c r="AB231" s="28" t="str">
        <f t="shared" si="316"/>
        <v/>
      </c>
      <c r="AC231" s="20" t="str">
        <f t="shared" si="317"/>
        <v/>
      </c>
      <c r="AD231" s="20" t="str">
        <f t="shared" si="318"/>
        <v/>
      </c>
    </row>
    <row r="232" spans="1:30" ht="15.75" customHeight="1" thickBot="1">
      <c r="A232" s="55"/>
      <c r="B232" s="61"/>
      <c r="C232" s="36" t="str">
        <f t="shared" ref="C232" si="363">IF(OR(LEN(C231)&lt;1,LEN(D232)&lt;1),"","E")</f>
        <v/>
      </c>
      <c r="D232" s="39"/>
      <c r="E232" s="45"/>
      <c r="F232" s="53"/>
      <c r="G232" s="58"/>
      <c r="H232" s="39"/>
      <c r="I232" s="39"/>
      <c r="J232" s="39"/>
      <c r="K232" s="50"/>
      <c r="M232" s="25">
        <f t="shared" si="308"/>
        <v>0</v>
      </c>
      <c r="N232" s="25" t="str">
        <f t="shared" si="327"/>
        <v/>
      </c>
      <c r="O232" s="26" t="str">
        <f t="shared" si="309"/>
        <v/>
      </c>
      <c r="P232" s="26">
        <f t="shared" si="310"/>
        <v>0</v>
      </c>
      <c r="Q232" s="20" t="s">
        <v>41</v>
      </c>
      <c r="R232" s="20">
        <f t="shared" si="302"/>
        <v>0</v>
      </c>
      <c r="S232" s="20">
        <f t="shared" si="303"/>
        <v>0</v>
      </c>
      <c r="T232" s="20">
        <f t="shared" si="311"/>
        <v>0</v>
      </c>
      <c r="U232" s="20">
        <f t="shared" si="312"/>
        <v>0</v>
      </c>
      <c r="V232" s="20" t="str">
        <f t="shared" si="304"/>
        <v/>
      </c>
      <c r="W232" s="20" t="str">
        <f t="shared" si="305"/>
        <v/>
      </c>
      <c r="X232" s="20" t="str">
        <f t="shared" si="313"/>
        <v/>
      </c>
      <c r="Y232">
        <f t="shared" si="314"/>
        <v>0</v>
      </c>
      <c r="Z232">
        <f t="shared" si="315"/>
        <v>0</v>
      </c>
      <c r="AA232" s="14" t="b">
        <f t="shared" si="306"/>
        <v>0</v>
      </c>
      <c r="AB232" s="28" t="str">
        <f t="shared" si="316"/>
        <v/>
      </c>
      <c r="AC232" s="20" t="str">
        <f t="shared" si="317"/>
        <v/>
      </c>
      <c r="AD232" s="20" t="str">
        <f t="shared" si="318"/>
        <v/>
      </c>
    </row>
    <row r="233" spans="1:30" ht="15" customHeight="1">
      <c r="A233" s="54"/>
      <c r="B233" s="59" t="str">
        <f t="shared" ref="B233" si="364">IF(LEN(A233)&lt;1,"",IF(ISBLANK(B227),"",B227+1))</f>
        <v/>
      </c>
      <c r="C233" s="35" t="str">
        <f t="shared" ref="C233" si="365">IF(ISBLANK(A233),"",IF(A233="Uraian Panjang","Teks Uraian","Teks Soal"))</f>
        <v/>
      </c>
      <c r="D233" s="40"/>
      <c r="E233" s="41"/>
      <c r="F233" s="52" t="str">
        <f t="shared" ref="F233" si="366">IF(ISBLANK(A233),"",IF(A233="Pilihan Ganda","Centang salah satu jawaban disamping pada kolom KUNCI",IF(A233="Jawaban Jamak","Centang beberapa jawaban disamping pada kolom KUNCI",IF(A233="Uraian Panjang","Pastikan tidak ada jawaban yang tercentang pada kolom KUNCI",IF(A233="Esai Koreksi Otomatis","Kunci jawaban adalah teks opsi dan centang opsi tersebut pada kolom KUNCI","ISIKAN JODOHNYA PADA KOLOM KUNCI")))))</f>
        <v/>
      </c>
      <c r="G233" s="56" t="str">
        <f>IF(LEN(A233)&lt;1,"",IF(AA233=FALSE,"Ada kesalahan, mohon perhatikan kolom KETERANGAN",""))</f>
        <v/>
      </c>
      <c r="H233" s="40"/>
      <c r="I233" s="40"/>
      <c r="J233" s="46"/>
      <c r="K233" s="47"/>
      <c r="M233" s="25">
        <f t="shared" si="308"/>
        <v>0</v>
      </c>
      <c r="N233" s="25" t="str">
        <f t="shared" si="327"/>
        <v/>
      </c>
      <c r="O233" s="26" t="str">
        <f t="shared" si="309"/>
        <v/>
      </c>
      <c r="P233" s="26">
        <f t="shared" si="310"/>
        <v>0</v>
      </c>
      <c r="Q233" s="20" t="s">
        <v>41</v>
      </c>
      <c r="R233" s="20">
        <f t="shared" si="302"/>
        <v>0</v>
      </c>
      <c r="S233" s="20">
        <f t="shared" si="303"/>
        <v>0</v>
      </c>
      <c r="T233" s="20">
        <f t="shared" si="311"/>
        <v>0</v>
      </c>
      <c r="U233" s="20">
        <f t="shared" si="312"/>
        <v>0</v>
      </c>
      <c r="V233" s="20" t="str">
        <f t="shared" si="304"/>
        <v/>
      </c>
      <c r="W233" s="20" t="str">
        <f t="shared" si="305"/>
        <v/>
      </c>
      <c r="X233" s="20" t="str">
        <f t="shared" si="313"/>
        <v/>
      </c>
      <c r="Y233">
        <f t="shared" si="314"/>
        <v>0</v>
      </c>
      <c r="Z233">
        <f t="shared" si="315"/>
        <v>0</v>
      </c>
      <c r="AA233" s="14" t="b">
        <f t="shared" si="306"/>
        <v>0</v>
      </c>
      <c r="AB233" s="28" t="str">
        <f t="shared" si="316"/>
        <v/>
      </c>
      <c r="AC233" s="20" t="str">
        <f t="shared" si="317"/>
        <v/>
      </c>
      <c r="AD233" s="20" t="str">
        <f t="shared" si="318"/>
        <v/>
      </c>
    </row>
    <row r="234" spans="1:30" ht="15" customHeight="1">
      <c r="A234" s="54"/>
      <c r="B234" s="60"/>
      <c r="C234" s="33" t="str">
        <f t="shared" ref="C234" si="367">IF(C233="Teks Uraian","",IF(OR(LEN(C233)&lt;1,LEN(D234)&lt;1),"","A"))</f>
        <v/>
      </c>
      <c r="D234" s="38"/>
      <c r="E234" s="44"/>
      <c r="F234" s="52"/>
      <c r="G234" s="57"/>
      <c r="H234" s="38"/>
      <c r="I234" s="38"/>
      <c r="J234" s="48"/>
      <c r="K234" s="49"/>
      <c r="M234" s="25">
        <f t="shared" si="308"/>
        <v>0</v>
      </c>
      <c r="N234" s="25" t="str">
        <f t="shared" si="327"/>
        <v/>
      </c>
      <c r="O234" s="26" t="str">
        <f t="shared" si="309"/>
        <v/>
      </c>
      <c r="P234" s="26">
        <f t="shared" si="310"/>
        <v>0</v>
      </c>
      <c r="Q234" s="20" t="s">
        <v>41</v>
      </c>
      <c r="R234" s="20">
        <f t="shared" si="302"/>
        <v>0</v>
      </c>
      <c r="S234" s="20">
        <f t="shared" si="303"/>
        <v>0</v>
      </c>
      <c r="T234" s="20">
        <f t="shared" si="311"/>
        <v>0</v>
      </c>
      <c r="U234" s="20">
        <f t="shared" si="312"/>
        <v>0</v>
      </c>
      <c r="V234" s="20" t="str">
        <f t="shared" si="304"/>
        <v/>
      </c>
      <c r="W234" s="20" t="str">
        <f t="shared" si="305"/>
        <v/>
      </c>
      <c r="X234" s="20" t="str">
        <f t="shared" si="313"/>
        <v/>
      </c>
      <c r="Y234">
        <f t="shared" si="314"/>
        <v>0</v>
      </c>
      <c r="Z234">
        <f t="shared" si="315"/>
        <v>0</v>
      </c>
      <c r="AA234" s="14" t="b">
        <f t="shared" si="306"/>
        <v>0</v>
      </c>
      <c r="AB234" s="28" t="str">
        <f t="shared" si="316"/>
        <v/>
      </c>
      <c r="AC234" s="20" t="str">
        <f t="shared" si="317"/>
        <v/>
      </c>
      <c r="AD234" s="20" t="str">
        <f t="shared" si="318"/>
        <v/>
      </c>
    </row>
    <row r="235" spans="1:30" ht="15" customHeight="1">
      <c r="A235" s="54"/>
      <c r="B235" s="60"/>
      <c r="C235" s="33" t="str">
        <f t="shared" ref="C235" si="368">IF(OR(LEN(C234)&lt;1,LEN(D234)&lt;1),"","B")</f>
        <v/>
      </c>
      <c r="D235" s="38"/>
      <c r="E235" s="44"/>
      <c r="F235" s="52"/>
      <c r="G235" s="57"/>
      <c r="H235" s="38"/>
      <c r="I235" s="38"/>
      <c r="J235" s="48"/>
      <c r="K235" s="49"/>
      <c r="M235" s="25">
        <f t="shared" si="308"/>
        <v>0</v>
      </c>
      <c r="N235" s="25" t="str">
        <f t="shared" si="327"/>
        <v/>
      </c>
      <c r="O235" s="26" t="str">
        <f t="shared" si="309"/>
        <v/>
      </c>
      <c r="P235" s="26">
        <f t="shared" si="310"/>
        <v>0</v>
      </c>
      <c r="Q235" s="20" t="s">
        <v>41</v>
      </c>
      <c r="R235" s="20">
        <f t="shared" si="302"/>
        <v>0</v>
      </c>
      <c r="S235" s="20">
        <f t="shared" si="303"/>
        <v>0</v>
      </c>
      <c r="T235" s="20">
        <f t="shared" si="311"/>
        <v>0</v>
      </c>
      <c r="U235" s="20">
        <f t="shared" si="312"/>
        <v>0</v>
      </c>
      <c r="V235" s="20" t="str">
        <f t="shared" si="304"/>
        <v/>
      </c>
      <c r="W235" s="20" t="str">
        <f t="shared" si="305"/>
        <v/>
      </c>
      <c r="X235" s="20" t="str">
        <f t="shared" si="313"/>
        <v/>
      </c>
      <c r="Y235">
        <f t="shared" si="314"/>
        <v>0</v>
      </c>
      <c r="Z235">
        <f t="shared" si="315"/>
        <v>0</v>
      </c>
      <c r="AA235" s="14" t="b">
        <f t="shared" si="306"/>
        <v>0</v>
      </c>
      <c r="AB235" s="28" t="str">
        <f t="shared" si="316"/>
        <v/>
      </c>
      <c r="AC235" s="20" t="str">
        <f t="shared" si="317"/>
        <v/>
      </c>
      <c r="AD235" s="20" t="str">
        <f t="shared" si="318"/>
        <v/>
      </c>
    </row>
    <row r="236" spans="1:30" ht="15" customHeight="1">
      <c r="A236" s="54"/>
      <c r="B236" s="60"/>
      <c r="C236" s="33" t="str">
        <f t="shared" ref="C236" si="369">IF(OR(LEN(C235)&lt;1,LEN(D236)&lt;1),"","C")</f>
        <v/>
      </c>
      <c r="D236" s="38"/>
      <c r="E236" s="42"/>
      <c r="F236" s="52"/>
      <c r="G236" s="57"/>
      <c r="H236" s="38"/>
      <c r="I236" s="38"/>
      <c r="J236" s="48"/>
      <c r="K236" s="49"/>
      <c r="M236" s="25">
        <f t="shared" si="308"/>
        <v>0</v>
      </c>
      <c r="N236" s="25" t="str">
        <f t="shared" si="327"/>
        <v/>
      </c>
      <c r="O236" s="26" t="str">
        <f t="shared" si="309"/>
        <v/>
      </c>
      <c r="P236" s="26">
        <f t="shared" si="310"/>
        <v>0</v>
      </c>
      <c r="Q236" s="20" t="s">
        <v>41</v>
      </c>
      <c r="R236" s="20">
        <f t="shared" si="302"/>
        <v>0</v>
      </c>
      <c r="S236" s="20">
        <f t="shared" si="303"/>
        <v>0</v>
      </c>
      <c r="T236" s="20">
        <f t="shared" si="311"/>
        <v>0</v>
      </c>
      <c r="U236" s="20">
        <f t="shared" si="312"/>
        <v>0</v>
      </c>
      <c r="V236" s="20" t="str">
        <f t="shared" si="304"/>
        <v/>
      </c>
      <c r="W236" s="20" t="str">
        <f t="shared" si="305"/>
        <v/>
      </c>
      <c r="X236" s="20" t="str">
        <f t="shared" si="313"/>
        <v/>
      </c>
      <c r="Y236">
        <f t="shared" si="314"/>
        <v>0</v>
      </c>
      <c r="Z236">
        <f t="shared" si="315"/>
        <v>0</v>
      </c>
      <c r="AA236" s="14" t="b">
        <f t="shared" si="306"/>
        <v>0</v>
      </c>
      <c r="AB236" s="28" t="str">
        <f t="shared" si="316"/>
        <v/>
      </c>
      <c r="AC236" s="20" t="str">
        <f t="shared" si="317"/>
        <v/>
      </c>
      <c r="AD236" s="20" t="str">
        <f t="shared" si="318"/>
        <v/>
      </c>
    </row>
    <row r="237" spans="1:30" ht="15" customHeight="1">
      <c r="A237" s="54"/>
      <c r="B237" s="60"/>
      <c r="C237" s="33" t="str">
        <f t="shared" ref="C237" si="370">IF(OR(LEN(C236)&lt;1,LEN(D237)&lt;1),"","D")</f>
        <v/>
      </c>
      <c r="D237" s="38"/>
      <c r="E237" s="44"/>
      <c r="F237" s="52"/>
      <c r="G237" s="57"/>
      <c r="H237" s="38"/>
      <c r="I237" s="38"/>
      <c r="J237" s="48"/>
      <c r="K237" s="49"/>
      <c r="M237" s="25">
        <f t="shared" si="308"/>
        <v>0</v>
      </c>
      <c r="N237" s="25" t="str">
        <f t="shared" si="327"/>
        <v/>
      </c>
      <c r="O237" s="26" t="str">
        <f t="shared" si="309"/>
        <v/>
      </c>
      <c r="P237" s="26">
        <f t="shared" si="310"/>
        <v>0</v>
      </c>
      <c r="Q237" s="20" t="s">
        <v>41</v>
      </c>
      <c r="R237" s="20">
        <f t="shared" si="302"/>
        <v>0</v>
      </c>
      <c r="S237" s="20">
        <f t="shared" si="303"/>
        <v>0</v>
      </c>
      <c r="T237" s="20">
        <f t="shared" si="311"/>
        <v>0</v>
      </c>
      <c r="U237" s="20">
        <f t="shared" si="312"/>
        <v>0</v>
      </c>
      <c r="V237" s="20" t="str">
        <f t="shared" si="304"/>
        <v/>
      </c>
      <c r="W237" s="20" t="str">
        <f t="shared" si="305"/>
        <v/>
      </c>
      <c r="X237" s="20" t="str">
        <f t="shared" si="313"/>
        <v/>
      </c>
      <c r="Y237">
        <f t="shared" si="314"/>
        <v>0</v>
      </c>
      <c r="Z237">
        <f t="shared" si="315"/>
        <v>0</v>
      </c>
      <c r="AA237" s="14" t="b">
        <f t="shared" si="306"/>
        <v>0</v>
      </c>
      <c r="AB237" s="28" t="str">
        <f t="shared" si="316"/>
        <v/>
      </c>
      <c r="AC237" s="20" t="str">
        <f t="shared" si="317"/>
        <v/>
      </c>
      <c r="AD237" s="20" t="str">
        <f t="shared" si="318"/>
        <v/>
      </c>
    </row>
    <row r="238" spans="1:30" ht="15.75" customHeight="1" thickBot="1">
      <c r="A238" s="55"/>
      <c r="B238" s="61"/>
      <c r="C238" s="36" t="str">
        <f t="shared" ref="C238" si="371">IF(OR(LEN(C237)&lt;1,LEN(D238)&lt;1),"","E")</f>
        <v/>
      </c>
      <c r="D238" s="39"/>
      <c r="E238" s="45"/>
      <c r="F238" s="53"/>
      <c r="G238" s="58"/>
      <c r="H238" s="39"/>
      <c r="I238" s="39"/>
      <c r="J238" s="39"/>
      <c r="K238" s="50"/>
      <c r="M238" s="25">
        <f t="shared" si="308"/>
        <v>0</v>
      </c>
      <c r="N238" s="25" t="str">
        <f t="shared" si="327"/>
        <v/>
      </c>
      <c r="O238" s="26" t="str">
        <f t="shared" si="309"/>
        <v/>
      </c>
      <c r="P238" s="26">
        <f t="shared" si="310"/>
        <v>0</v>
      </c>
      <c r="Q238" s="20" t="s">
        <v>41</v>
      </c>
      <c r="R238" s="20">
        <f t="shared" si="302"/>
        <v>0</v>
      </c>
      <c r="S238" s="20">
        <f t="shared" si="303"/>
        <v>0</v>
      </c>
      <c r="T238" s="20">
        <f t="shared" si="311"/>
        <v>0</v>
      </c>
      <c r="U238" s="20">
        <f t="shared" si="312"/>
        <v>0</v>
      </c>
      <c r="V238" s="20" t="str">
        <f t="shared" si="304"/>
        <v/>
      </c>
      <c r="W238" s="20" t="str">
        <f t="shared" si="305"/>
        <v/>
      </c>
      <c r="X238" s="20" t="str">
        <f t="shared" si="313"/>
        <v/>
      </c>
      <c r="Y238">
        <f t="shared" si="314"/>
        <v>0</v>
      </c>
      <c r="Z238">
        <f t="shared" si="315"/>
        <v>0</v>
      </c>
      <c r="AA238" s="14" t="b">
        <f t="shared" si="306"/>
        <v>0</v>
      </c>
      <c r="AB238" s="28" t="str">
        <f t="shared" si="316"/>
        <v/>
      </c>
      <c r="AC238" s="20" t="str">
        <f t="shared" si="317"/>
        <v/>
      </c>
      <c r="AD238" s="20" t="str">
        <f t="shared" si="318"/>
        <v/>
      </c>
    </row>
    <row r="239" spans="1:30" ht="15" customHeight="1">
      <c r="A239" s="54"/>
      <c r="B239" s="59" t="str">
        <f t="shared" ref="B239" si="372">IF(LEN(A239)&lt;1,"",IF(ISBLANK(B233),"",B233+1))</f>
        <v/>
      </c>
      <c r="C239" s="35" t="str">
        <f t="shared" ref="C239" si="373">IF(ISBLANK(A239),"",IF(A239="Uraian Panjang","Teks Uraian","Teks Soal"))</f>
        <v/>
      </c>
      <c r="D239" s="40"/>
      <c r="E239" s="41"/>
      <c r="F239" s="52" t="str">
        <f t="shared" ref="F239" si="374">IF(ISBLANK(A239),"",IF(A239="Pilihan Ganda","Centang salah satu jawaban disamping pada kolom KUNCI",IF(A239="Jawaban Jamak","Centang beberapa jawaban disamping pada kolom KUNCI",IF(A239="Uraian Panjang","Pastikan tidak ada jawaban yang tercentang pada kolom KUNCI",IF(A239="Esai Koreksi Otomatis","Kunci jawaban adalah teks opsi dan centang opsi tersebut pada kolom KUNCI","ISIKAN JODOHNYA PADA KOLOM KUNCI")))))</f>
        <v/>
      </c>
      <c r="G239" s="56" t="str">
        <f>IF(LEN(A239)&lt;1,"",IF(AA239=FALSE,"Ada kesalahan, mohon perhatikan kolom KETERANGAN",""))</f>
        <v/>
      </c>
      <c r="H239" s="40"/>
      <c r="I239" s="40"/>
      <c r="J239" s="46"/>
      <c r="K239" s="47"/>
      <c r="M239" s="25">
        <f t="shared" si="308"/>
        <v>0</v>
      </c>
      <c r="N239" s="25" t="str">
        <f t="shared" si="327"/>
        <v/>
      </c>
      <c r="O239" s="26" t="str">
        <f t="shared" si="309"/>
        <v/>
      </c>
      <c r="P239" s="26">
        <f t="shared" si="310"/>
        <v>0</v>
      </c>
      <c r="Q239" s="20" t="s">
        <v>41</v>
      </c>
      <c r="R239" s="20">
        <f t="shared" si="302"/>
        <v>0</v>
      </c>
      <c r="S239" s="20">
        <f t="shared" si="303"/>
        <v>0</v>
      </c>
      <c r="T239" s="20">
        <f t="shared" si="311"/>
        <v>0</v>
      </c>
      <c r="U239" s="20">
        <f t="shared" si="312"/>
        <v>0</v>
      </c>
      <c r="V239" s="20" t="str">
        <f t="shared" si="304"/>
        <v/>
      </c>
      <c r="W239" s="20" t="str">
        <f t="shared" si="305"/>
        <v/>
      </c>
      <c r="X239" s="20" t="str">
        <f t="shared" si="313"/>
        <v/>
      </c>
      <c r="Y239">
        <f t="shared" si="314"/>
        <v>0</v>
      </c>
      <c r="Z239">
        <f t="shared" si="315"/>
        <v>0</v>
      </c>
      <c r="AA239" s="14" t="b">
        <f t="shared" si="306"/>
        <v>0</v>
      </c>
      <c r="AB239" s="28" t="str">
        <f t="shared" si="316"/>
        <v/>
      </c>
      <c r="AC239" s="20" t="str">
        <f t="shared" si="317"/>
        <v/>
      </c>
      <c r="AD239" s="20" t="str">
        <f t="shared" si="318"/>
        <v/>
      </c>
    </row>
    <row r="240" spans="1:30" ht="15" customHeight="1">
      <c r="A240" s="54"/>
      <c r="B240" s="60"/>
      <c r="C240" s="33" t="str">
        <f t="shared" ref="C240" si="375">IF(C239="Teks Uraian","",IF(OR(LEN(C239)&lt;1,LEN(D240)&lt;1),"","A"))</f>
        <v/>
      </c>
      <c r="D240" s="38"/>
      <c r="E240" s="44"/>
      <c r="F240" s="52"/>
      <c r="G240" s="57"/>
      <c r="H240" s="38"/>
      <c r="I240" s="38"/>
      <c r="J240" s="48"/>
      <c r="K240" s="49"/>
      <c r="M240" s="25">
        <f t="shared" si="308"/>
        <v>0</v>
      </c>
      <c r="N240" s="25" t="str">
        <f t="shared" si="327"/>
        <v/>
      </c>
      <c r="O240" s="26" t="str">
        <f t="shared" si="309"/>
        <v/>
      </c>
      <c r="P240" s="26">
        <f t="shared" si="310"/>
        <v>0</v>
      </c>
      <c r="Q240" s="20" t="s">
        <v>41</v>
      </c>
      <c r="R240" s="20">
        <f t="shared" si="302"/>
        <v>0</v>
      </c>
      <c r="S240" s="20">
        <f t="shared" si="303"/>
        <v>0</v>
      </c>
      <c r="T240" s="20">
        <f t="shared" si="311"/>
        <v>0</v>
      </c>
      <c r="U240" s="20">
        <f t="shared" si="312"/>
        <v>0</v>
      </c>
      <c r="V240" s="20" t="str">
        <f t="shared" si="304"/>
        <v/>
      </c>
      <c r="W240" s="20" t="str">
        <f t="shared" si="305"/>
        <v/>
      </c>
      <c r="X240" s="20" t="str">
        <f t="shared" si="313"/>
        <v/>
      </c>
      <c r="Y240">
        <f t="shared" si="314"/>
        <v>0</v>
      </c>
      <c r="Z240">
        <f t="shared" si="315"/>
        <v>0</v>
      </c>
      <c r="AA240" s="14" t="b">
        <f t="shared" si="306"/>
        <v>0</v>
      </c>
      <c r="AB240" s="28" t="str">
        <f t="shared" si="316"/>
        <v/>
      </c>
      <c r="AC240" s="20" t="str">
        <f t="shared" si="317"/>
        <v/>
      </c>
      <c r="AD240" s="20" t="str">
        <f t="shared" si="318"/>
        <v/>
      </c>
    </row>
    <row r="241" spans="1:30" ht="15" customHeight="1">
      <c r="A241" s="54"/>
      <c r="B241" s="60"/>
      <c r="C241" s="33" t="str">
        <f t="shared" ref="C241" si="376">IF(OR(LEN(C240)&lt;1,LEN(D240)&lt;1),"","B")</f>
        <v/>
      </c>
      <c r="D241" s="38"/>
      <c r="E241" s="44"/>
      <c r="F241" s="52"/>
      <c r="G241" s="57"/>
      <c r="H241" s="38"/>
      <c r="I241" s="38"/>
      <c r="J241" s="48"/>
      <c r="K241" s="49"/>
      <c r="M241" s="25">
        <f t="shared" si="308"/>
        <v>0</v>
      </c>
      <c r="N241" s="25" t="str">
        <f t="shared" si="327"/>
        <v/>
      </c>
      <c r="O241" s="26" t="str">
        <f t="shared" si="309"/>
        <v/>
      </c>
      <c r="P241" s="26">
        <f t="shared" si="310"/>
        <v>0</v>
      </c>
      <c r="Q241" s="20" t="s">
        <v>41</v>
      </c>
      <c r="R241" s="20">
        <f t="shared" si="302"/>
        <v>0</v>
      </c>
      <c r="S241" s="20">
        <f t="shared" si="303"/>
        <v>0</v>
      </c>
      <c r="T241" s="20">
        <f t="shared" si="311"/>
        <v>0</v>
      </c>
      <c r="U241" s="20">
        <f t="shared" si="312"/>
        <v>0</v>
      </c>
      <c r="V241" s="20" t="str">
        <f t="shared" si="304"/>
        <v/>
      </c>
      <c r="W241" s="20" t="str">
        <f t="shared" si="305"/>
        <v/>
      </c>
      <c r="X241" s="20" t="str">
        <f t="shared" si="313"/>
        <v/>
      </c>
      <c r="Y241">
        <f t="shared" si="314"/>
        <v>0</v>
      </c>
      <c r="Z241">
        <f t="shared" si="315"/>
        <v>0</v>
      </c>
      <c r="AA241" s="14" t="b">
        <f t="shared" si="306"/>
        <v>0</v>
      </c>
      <c r="AB241" s="28" t="str">
        <f t="shared" si="316"/>
        <v/>
      </c>
      <c r="AC241" s="20" t="str">
        <f t="shared" si="317"/>
        <v/>
      </c>
      <c r="AD241" s="20" t="str">
        <f t="shared" si="318"/>
        <v/>
      </c>
    </row>
    <row r="242" spans="1:30" ht="15" customHeight="1">
      <c r="A242" s="54"/>
      <c r="B242" s="60"/>
      <c r="C242" s="33" t="str">
        <f t="shared" ref="C242" si="377">IF(OR(LEN(C241)&lt;1,LEN(D242)&lt;1),"","C")</f>
        <v/>
      </c>
      <c r="D242" s="38"/>
      <c r="E242" s="42"/>
      <c r="F242" s="52"/>
      <c r="G242" s="57"/>
      <c r="H242" s="38"/>
      <c r="I242" s="38"/>
      <c r="J242" s="48"/>
      <c r="K242" s="49"/>
      <c r="M242" s="25">
        <f t="shared" si="308"/>
        <v>0</v>
      </c>
      <c r="N242" s="25" t="str">
        <f t="shared" si="327"/>
        <v/>
      </c>
      <c r="O242" s="26" t="str">
        <f t="shared" si="309"/>
        <v/>
      </c>
      <c r="P242" s="26">
        <f t="shared" si="310"/>
        <v>0</v>
      </c>
      <c r="Q242" s="20" t="s">
        <v>41</v>
      </c>
      <c r="R242" s="20">
        <f t="shared" si="302"/>
        <v>0</v>
      </c>
      <c r="S242" s="20">
        <f t="shared" si="303"/>
        <v>0</v>
      </c>
      <c r="T242" s="20">
        <f t="shared" si="311"/>
        <v>0</v>
      </c>
      <c r="U242" s="20">
        <f t="shared" si="312"/>
        <v>0</v>
      </c>
      <c r="V242" s="20" t="str">
        <f t="shared" si="304"/>
        <v/>
      </c>
      <c r="W242" s="20" t="str">
        <f t="shared" si="305"/>
        <v/>
      </c>
      <c r="X242" s="20" t="str">
        <f t="shared" si="313"/>
        <v/>
      </c>
      <c r="Y242">
        <f t="shared" si="314"/>
        <v>0</v>
      </c>
      <c r="Z242">
        <f t="shared" si="315"/>
        <v>0</v>
      </c>
      <c r="AA242" s="14" t="b">
        <f t="shared" si="306"/>
        <v>0</v>
      </c>
      <c r="AB242" s="28" t="str">
        <f t="shared" si="316"/>
        <v/>
      </c>
      <c r="AC242" s="20" t="str">
        <f t="shared" si="317"/>
        <v/>
      </c>
      <c r="AD242" s="20" t="str">
        <f t="shared" si="318"/>
        <v/>
      </c>
    </row>
    <row r="243" spans="1:30" ht="15" customHeight="1">
      <c r="A243" s="54"/>
      <c r="B243" s="60"/>
      <c r="C243" s="33" t="str">
        <f t="shared" ref="C243" si="378">IF(OR(LEN(C242)&lt;1,LEN(D243)&lt;1),"","D")</f>
        <v/>
      </c>
      <c r="D243" s="38"/>
      <c r="E243" s="44"/>
      <c r="F243" s="52"/>
      <c r="G243" s="57"/>
      <c r="H243" s="38"/>
      <c r="I243" s="38"/>
      <c r="J243" s="48"/>
      <c r="K243" s="49"/>
      <c r="M243" s="25">
        <f t="shared" si="308"/>
        <v>0</v>
      </c>
      <c r="N243" s="25" t="str">
        <f t="shared" si="327"/>
        <v/>
      </c>
      <c r="O243" s="26" t="str">
        <f t="shared" si="309"/>
        <v/>
      </c>
      <c r="P243" s="26">
        <f t="shared" si="310"/>
        <v>0</v>
      </c>
      <c r="Q243" s="20" t="s">
        <v>41</v>
      </c>
      <c r="R243" s="20">
        <f t="shared" si="302"/>
        <v>0</v>
      </c>
      <c r="S243" s="20">
        <f t="shared" si="303"/>
        <v>0</v>
      </c>
      <c r="T243" s="20">
        <f t="shared" si="311"/>
        <v>0</v>
      </c>
      <c r="U243" s="20">
        <f t="shared" si="312"/>
        <v>0</v>
      </c>
      <c r="V243" s="20" t="str">
        <f t="shared" si="304"/>
        <v/>
      </c>
      <c r="W243" s="20" t="str">
        <f t="shared" si="305"/>
        <v/>
      </c>
      <c r="X243" s="20" t="str">
        <f t="shared" si="313"/>
        <v/>
      </c>
      <c r="Y243">
        <f t="shared" si="314"/>
        <v>0</v>
      </c>
      <c r="Z243">
        <f t="shared" si="315"/>
        <v>0</v>
      </c>
      <c r="AA243" s="14" t="b">
        <f t="shared" si="306"/>
        <v>0</v>
      </c>
      <c r="AB243" s="28" t="str">
        <f t="shared" si="316"/>
        <v/>
      </c>
      <c r="AC243" s="20" t="str">
        <f t="shared" si="317"/>
        <v/>
      </c>
      <c r="AD243" s="20" t="str">
        <f t="shared" si="318"/>
        <v/>
      </c>
    </row>
    <row r="244" spans="1:30" ht="15.75" customHeight="1" thickBot="1">
      <c r="A244" s="55"/>
      <c r="B244" s="61"/>
      <c r="C244" s="36" t="str">
        <f t="shared" ref="C244" si="379">IF(OR(LEN(C243)&lt;1,LEN(D244)&lt;1),"","E")</f>
        <v/>
      </c>
      <c r="D244" s="39"/>
      <c r="E244" s="45"/>
      <c r="F244" s="53"/>
      <c r="G244" s="58"/>
      <c r="H244" s="39"/>
      <c r="I244" s="39"/>
      <c r="J244" s="39"/>
      <c r="K244" s="50"/>
      <c r="M244" s="25">
        <f t="shared" si="308"/>
        <v>0</v>
      </c>
      <c r="N244" s="25" t="str">
        <f t="shared" si="327"/>
        <v/>
      </c>
      <c r="O244" s="26" t="str">
        <f t="shared" si="309"/>
        <v/>
      </c>
      <c r="P244" s="26">
        <f t="shared" si="310"/>
        <v>0</v>
      </c>
      <c r="Q244" s="20" t="s">
        <v>41</v>
      </c>
      <c r="R244" s="20">
        <f t="shared" si="302"/>
        <v>0</v>
      </c>
      <c r="S244" s="20">
        <f t="shared" si="303"/>
        <v>0</v>
      </c>
      <c r="T244" s="20">
        <f t="shared" si="311"/>
        <v>0</v>
      </c>
      <c r="U244" s="20">
        <f t="shared" si="312"/>
        <v>0</v>
      </c>
      <c r="V244" s="20" t="str">
        <f t="shared" si="304"/>
        <v/>
      </c>
      <c r="W244" s="20" t="str">
        <f t="shared" si="305"/>
        <v/>
      </c>
      <c r="X244" s="20" t="str">
        <f t="shared" si="313"/>
        <v/>
      </c>
      <c r="Y244">
        <f t="shared" si="314"/>
        <v>0</v>
      </c>
      <c r="Z244">
        <f t="shared" si="315"/>
        <v>0</v>
      </c>
      <c r="AA244" s="14" t="b">
        <f t="shared" si="306"/>
        <v>0</v>
      </c>
      <c r="AB244" s="28" t="str">
        <f t="shared" si="316"/>
        <v/>
      </c>
      <c r="AC244" s="20" t="str">
        <f t="shared" si="317"/>
        <v/>
      </c>
      <c r="AD244" s="20" t="str">
        <f t="shared" si="318"/>
        <v/>
      </c>
    </row>
    <row r="245" spans="1:30" ht="15" customHeight="1">
      <c r="A245" s="54"/>
      <c r="B245" s="59" t="str">
        <f t="shared" ref="B245" si="380">IF(LEN(A245)&lt;1,"",IF(ISBLANK(B239),"",B239+1))</f>
        <v/>
      </c>
      <c r="C245" s="35" t="str">
        <f t="shared" ref="C245" si="381">IF(ISBLANK(A245),"",IF(A245="Uraian Panjang","Teks Uraian","Teks Soal"))</f>
        <v/>
      </c>
      <c r="D245" s="40"/>
      <c r="E245" s="41"/>
      <c r="F245" s="52" t="str">
        <f t="shared" ref="F245" si="382">IF(ISBLANK(A245),"",IF(A245="Pilihan Ganda","Centang salah satu jawaban disamping pada kolom KUNCI",IF(A245="Jawaban Jamak","Centang beberapa jawaban disamping pada kolom KUNCI",IF(A245="Uraian Panjang","Pastikan tidak ada jawaban yang tercentang pada kolom KUNCI",IF(A245="Esai Koreksi Otomatis","Kunci jawaban adalah teks opsi dan centang opsi tersebut pada kolom KUNCI","ISIKAN JODOHNYA PADA KOLOM KUNCI")))))</f>
        <v/>
      </c>
      <c r="G245" s="56" t="str">
        <f>IF(LEN(A245)&lt;1,"",IF(AA245=FALSE,"Ada kesalahan, mohon perhatikan kolom KETERANGAN",""))</f>
        <v/>
      </c>
      <c r="H245" s="40"/>
      <c r="I245" s="40"/>
      <c r="J245" s="46"/>
      <c r="K245" s="47"/>
      <c r="M245" s="25">
        <f t="shared" si="308"/>
        <v>0</v>
      </c>
      <c r="N245" s="25" t="str">
        <f t="shared" si="327"/>
        <v/>
      </c>
      <c r="O245" s="26" t="str">
        <f t="shared" si="309"/>
        <v/>
      </c>
      <c r="P245" s="26">
        <f t="shared" si="310"/>
        <v>0</v>
      </c>
      <c r="Q245" s="20" t="s">
        <v>41</v>
      </c>
      <c r="R245" s="20">
        <f t="shared" si="302"/>
        <v>0</v>
      </c>
      <c r="S245" s="20">
        <f t="shared" si="303"/>
        <v>0</v>
      </c>
      <c r="T245" s="20">
        <f t="shared" si="311"/>
        <v>0</v>
      </c>
      <c r="U245" s="20">
        <f t="shared" si="312"/>
        <v>0</v>
      </c>
      <c r="V245" s="20" t="str">
        <f t="shared" si="304"/>
        <v/>
      </c>
      <c r="W245" s="20" t="str">
        <f t="shared" si="305"/>
        <v/>
      </c>
      <c r="X245" s="20" t="str">
        <f t="shared" si="313"/>
        <v/>
      </c>
      <c r="Y245">
        <f t="shared" si="314"/>
        <v>0</v>
      </c>
      <c r="Z245">
        <f t="shared" si="315"/>
        <v>0</v>
      </c>
      <c r="AA245" s="14" t="b">
        <f t="shared" si="306"/>
        <v>0</v>
      </c>
      <c r="AB245" s="28" t="str">
        <f t="shared" si="316"/>
        <v/>
      </c>
      <c r="AC245" s="20" t="str">
        <f t="shared" si="317"/>
        <v/>
      </c>
      <c r="AD245" s="20" t="str">
        <f t="shared" si="318"/>
        <v/>
      </c>
    </row>
    <row r="246" spans="1:30" ht="15" customHeight="1">
      <c r="A246" s="54"/>
      <c r="B246" s="60"/>
      <c r="C246" s="33" t="str">
        <f t="shared" ref="C246" si="383">IF(C245="Teks Uraian","",IF(OR(LEN(C245)&lt;1,LEN(D246)&lt;1),"","A"))</f>
        <v/>
      </c>
      <c r="D246" s="38"/>
      <c r="E246" s="44"/>
      <c r="F246" s="52"/>
      <c r="G246" s="57"/>
      <c r="H246" s="38"/>
      <c r="I246" s="38"/>
      <c r="J246" s="48"/>
      <c r="K246" s="49"/>
      <c r="M246" s="25">
        <f t="shared" si="308"/>
        <v>0</v>
      </c>
      <c r="N246" s="25" t="str">
        <f t="shared" si="327"/>
        <v/>
      </c>
      <c r="O246" s="26" t="str">
        <f t="shared" si="309"/>
        <v/>
      </c>
      <c r="P246" s="26">
        <f t="shared" si="310"/>
        <v>0</v>
      </c>
      <c r="Q246" s="20" t="s">
        <v>41</v>
      </c>
      <c r="R246" s="20">
        <f t="shared" si="302"/>
        <v>0</v>
      </c>
      <c r="S246" s="20">
        <f t="shared" si="303"/>
        <v>0</v>
      </c>
      <c r="T246" s="20">
        <f t="shared" si="311"/>
        <v>0</v>
      </c>
      <c r="U246" s="20">
        <f t="shared" si="312"/>
        <v>0</v>
      </c>
      <c r="V246" s="20" t="str">
        <f t="shared" si="304"/>
        <v/>
      </c>
      <c r="W246" s="20" t="str">
        <f t="shared" si="305"/>
        <v/>
      </c>
      <c r="X246" s="20" t="str">
        <f t="shared" si="313"/>
        <v/>
      </c>
      <c r="Y246">
        <f t="shared" si="314"/>
        <v>0</v>
      </c>
      <c r="Z246">
        <f t="shared" si="315"/>
        <v>0</v>
      </c>
      <c r="AA246" s="14" t="b">
        <f t="shared" si="306"/>
        <v>0</v>
      </c>
      <c r="AB246" s="28" t="str">
        <f t="shared" si="316"/>
        <v/>
      </c>
      <c r="AC246" s="20" t="str">
        <f t="shared" si="317"/>
        <v/>
      </c>
      <c r="AD246" s="20" t="str">
        <f t="shared" si="318"/>
        <v/>
      </c>
    </row>
    <row r="247" spans="1:30" ht="15" customHeight="1">
      <c r="A247" s="54"/>
      <c r="B247" s="60"/>
      <c r="C247" s="33" t="str">
        <f t="shared" ref="C247" si="384">IF(OR(LEN(C246)&lt;1,LEN(D246)&lt;1),"","B")</f>
        <v/>
      </c>
      <c r="D247" s="38"/>
      <c r="E247" s="44"/>
      <c r="F247" s="52"/>
      <c r="G247" s="57"/>
      <c r="H247" s="38"/>
      <c r="I247" s="38"/>
      <c r="J247" s="48"/>
      <c r="K247" s="49"/>
      <c r="M247" s="25">
        <f t="shared" si="308"/>
        <v>0</v>
      </c>
      <c r="N247" s="25" t="str">
        <f t="shared" si="327"/>
        <v/>
      </c>
      <c r="O247" s="26" t="str">
        <f t="shared" si="309"/>
        <v/>
      </c>
      <c r="P247" s="26">
        <f t="shared" si="310"/>
        <v>0</v>
      </c>
      <c r="Q247" s="20" t="s">
        <v>41</v>
      </c>
      <c r="R247" s="20">
        <f t="shared" si="302"/>
        <v>0</v>
      </c>
      <c r="S247" s="20">
        <f t="shared" si="303"/>
        <v>0</v>
      </c>
      <c r="T247" s="20">
        <f t="shared" si="311"/>
        <v>0</v>
      </c>
      <c r="U247" s="20">
        <f t="shared" si="312"/>
        <v>0</v>
      </c>
      <c r="V247" s="20" t="str">
        <f t="shared" si="304"/>
        <v/>
      </c>
      <c r="W247" s="20" t="str">
        <f t="shared" si="305"/>
        <v/>
      </c>
      <c r="X247" s="20" t="str">
        <f t="shared" si="313"/>
        <v/>
      </c>
      <c r="Y247">
        <f t="shared" si="314"/>
        <v>0</v>
      </c>
      <c r="Z247">
        <f t="shared" si="315"/>
        <v>0</v>
      </c>
      <c r="AA247" s="14" t="b">
        <f t="shared" si="306"/>
        <v>0</v>
      </c>
      <c r="AB247" s="28" t="str">
        <f t="shared" si="316"/>
        <v/>
      </c>
      <c r="AC247" s="20" t="str">
        <f t="shared" si="317"/>
        <v/>
      </c>
      <c r="AD247" s="20" t="str">
        <f t="shared" si="318"/>
        <v/>
      </c>
    </row>
    <row r="248" spans="1:30" ht="15" customHeight="1">
      <c r="A248" s="54"/>
      <c r="B248" s="60"/>
      <c r="C248" s="33" t="str">
        <f t="shared" ref="C248" si="385">IF(OR(LEN(C247)&lt;1,LEN(D248)&lt;1),"","C")</f>
        <v/>
      </c>
      <c r="D248" s="38"/>
      <c r="E248" s="42"/>
      <c r="F248" s="52"/>
      <c r="G248" s="57"/>
      <c r="H248" s="38"/>
      <c r="I248" s="38"/>
      <c r="J248" s="48"/>
      <c r="K248" s="49"/>
      <c r="M248" s="25">
        <f t="shared" si="308"/>
        <v>0</v>
      </c>
      <c r="N248" s="25" t="str">
        <f t="shared" si="327"/>
        <v/>
      </c>
      <c r="O248" s="26" t="str">
        <f t="shared" si="309"/>
        <v/>
      </c>
      <c r="P248" s="26">
        <f t="shared" si="310"/>
        <v>0</v>
      </c>
      <c r="Q248" s="20" t="s">
        <v>41</v>
      </c>
      <c r="R248" s="20">
        <f t="shared" si="302"/>
        <v>0</v>
      </c>
      <c r="S248" s="20">
        <f t="shared" si="303"/>
        <v>0</v>
      </c>
      <c r="T248" s="20">
        <f t="shared" si="311"/>
        <v>0</v>
      </c>
      <c r="U248" s="20">
        <f t="shared" si="312"/>
        <v>0</v>
      </c>
      <c r="V248" s="20" t="str">
        <f t="shared" si="304"/>
        <v/>
      </c>
      <c r="W248" s="20" t="str">
        <f t="shared" si="305"/>
        <v/>
      </c>
      <c r="X248" s="20" t="str">
        <f t="shared" si="313"/>
        <v/>
      </c>
      <c r="Y248">
        <f t="shared" si="314"/>
        <v>0</v>
      </c>
      <c r="Z248">
        <f t="shared" si="315"/>
        <v>0</v>
      </c>
      <c r="AA248" s="14" t="b">
        <f t="shared" si="306"/>
        <v>0</v>
      </c>
      <c r="AB248" s="28" t="str">
        <f t="shared" si="316"/>
        <v/>
      </c>
      <c r="AC248" s="20" t="str">
        <f t="shared" si="317"/>
        <v/>
      </c>
      <c r="AD248" s="20" t="str">
        <f t="shared" si="318"/>
        <v/>
      </c>
    </row>
    <row r="249" spans="1:30" ht="15" customHeight="1">
      <c r="A249" s="54"/>
      <c r="B249" s="60"/>
      <c r="C249" s="33" t="str">
        <f t="shared" ref="C249" si="386">IF(OR(LEN(C248)&lt;1,LEN(D249)&lt;1),"","D")</f>
        <v/>
      </c>
      <c r="D249" s="38"/>
      <c r="E249" s="44"/>
      <c r="F249" s="52"/>
      <c r="G249" s="57"/>
      <c r="H249" s="38"/>
      <c r="I249" s="38"/>
      <c r="J249" s="48"/>
      <c r="K249" s="49"/>
      <c r="M249" s="25">
        <f t="shared" si="308"/>
        <v>0</v>
      </c>
      <c r="N249" s="25" t="str">
        <f t="shared" si="327"/>
        <v/>
      </c>
      <c r="O249" s="26" t="str">
        <f t="shared" si="309"/>
        <v/>
      </c>
      <c r="P249" s="26">
        <f t="shared" si="310"/>
        <v>0</v>
      </c>
      <c r="Q249" s="20" t="s">
        <v>41</v>
      </c>
      <c r="R249" s="20">
        <f t="shared" si="302"/>
        <v>0</v>
      </c>
      <c r="S249" s="20">
        <f t="shared" si="303"/>
        <v>0</v>
      </c>
      <c r="T249" s="20">
        <f t="shared" si="311"/>
        <v>0</v>
      </c>
      <c r="U249" s="20">
        <f t="shared" si="312"/>
        <v>0</v>
      </c>
      <c r="V249" s="20" t="str">
        <f t="shared" si="304"/>
        <v/>
      </c>
      <c r="W249" s="20" t="str">
        <f t="shared" si="305"/>
        <v/>
      </c>
      <c r="X249" s="20" t="str">
        <f t="shared" si="313"/>
        <v/>
      </c>
      <c r="Y249">
        <f t="shared" si="314"/>
        <v>0</v>
      </c>
      <c r="Z249">
        <f t="shared" si="315"/>
        <v>0</v>
      </c>
      <c r="AA249" s="14" t="b">
        <f t="shared" si="306"/>
        <v>0</v>
      </c>
      <c r="AB249" s="28" t="str">
        <f t="shared" si="316"/>
        <v/>
      </c>
      <c r="AC249" s="20" t="str">
        <f t="shared" si="317"/>
        <v/>
      </c>
      <c r="AD249" s="20" t="str">
        <f t="shared" si="318"/>
        <v/>
      </c>
    </row>
    <row r="250" spans="1:30" ht="15.75" customHeight="1" thickBot="1">
      <c r="A250" s="55"/>
      <c r="B250" s="61"/>
      <c r="C250" s="36" t="str">
        <f t="shared" ref="C250" si="387">IF(OR(LEN(C249)&lt;1,LEN(D250)&lt;1),"","E")</f>
        <v/>
      </c>
      <c r="D250" s="39"/>
      <c r="E250" s="45"/>
      <c r="F250" s="53"/>
      <c r="G250" s="58"/>
      <c r="H250" s="39"/>
      <c r="I250" s="39"/>
      <c r="J250" s="39"/>
      <c r="K250" s="50"/>
      <c r="M250" s="25">
        <f t="shared" si="308"/>
        <v>0</v>
      </c>
      <c r="N250" s="25" t="str">
        <f t="shared" si="327"/>
        <v/>
      </c>
      <c r="O250" s="26" t="str">
        <f t="shared" si="309"/>
        <v/>
      </c>
      <c r="P250" s="26">
        <f t="shared" si="310"/>
        <v>0</v>
      </c>
      <c r="Q250" s="20" t="s">
        <v>41</v>
      </c>
      <c r="R250" s="20">
        <f t="shared" si="302"/>
        <v>0</v>
      </c>
      <c r="S250" s="20">
        <f t="shared" si="303"/>
        <v>0</v>
      </c>
      <c r="T250" s="20">
        <f t="shared" si="311"/>
        <v>0</v>
      </c>
      <c r="U250" s="20">
        <f t="shared" si="312"/>
        <v>0</v>
      </c>
      <c r="V250" s="20" t="str">
        <f t="shared" si="304"/>
        <v/>
      </c>
      <c r="W250" s="20" t="str">
        <f t="shared" si="305"/>
        <v/>
      </c>
      <c r="X250" s="20" t="str">
        <f t="shared" si="313"/>
        <v/>
      </c>
      <c r="Y250">
        <f t="shared" si="314"/>
        <v>0</v>
      </c>
      <c r="Z250">
        <f t="shared" si="315"/>
        <v>0</v>
      </c>
      <c r="AA250" s="14" t="b">
        <f t="shared" si="306"/>
        <v>0</v>
      </c>
      <c r="AB250" s="28" t="str">
        <f t="shared" si="316"/>
        <v/>
      </c>
      <c r="AC250" s="20" t="str">
        <f t="shared" si="317"/>
        <v/>
      </c>
      <c r="AD250" s="20" t="str">
        <f t="shared" si="318"/>
        <v/>
      </c>
    </row>
    <row r="251" spans="1:30" ht="15" customHeight="1">
      <c r="A251" s="54"/>
      <c r="B251" s="59" t="str">
        <f t="shared" ref="B251" si="388">IF(LEN(A251)&lt;1,"",IF(ISBLANK(B245),"",B245+1))</f>
        <v/>
      </c>
      <c r="C251" s="35" t="str">
        <f t="shared" ref="C251" si="389">IF(ISBLANK(A251),"",IF(A251="Uraian Panjang","Teks Uraian","Teks Soal"))</f>
        <v/>
      </c>
      <c r="D251" s="40"/>
      <c r="E251" s="41"/>
      <c r="F251" s="52" t="str">
        <f t="shared" ref="F251" si="390">IF(ISBLANK(A251),"",IF(A251="Pilihan Ganda","Centang salah satu jawaban disamping pada kolom KUNCI",IF(A251="Jawaban Jamak","Centang beberapa jawaban disamping pada kolom KUNCI",IF(A251="Uraian Panjang","Pastikan tidak ada jawaban yang tercentang pada kolom KUNCI",IF(A251="Esai Koreksi Otomatis","Kunci jawaban adalah teks opsi dan centang opsi tersebut pada kolom KUNCI","ISIKAN JODOHNYA PADA KOLOM KUNCI")))))</f>
        <v/>
      </c>
      <c r="G251" s="56" t="str">
        <f>IF(LEN(A251)&lt;1,"",IF(AA251=FALSE,"Ada kesalahan, mohon perhatikan kolom KETERANGAN",""))</f>
        <v/>
      </c>
      <c r="H251" s="40"/>
      <c r="I251" s="40"/>
      <c r="J251" s="46"/>
      <c r="K251" s="47"/>
      <c r="M251" s="25">
        <f t="shared" si="308"/>
        <v>0</v>
      </c>
      <c r="N251" s="25" t="str">
        <f t="shared" si="327"/>
        <v/>
      </c>
      <c r="O251" s="26" t="str">
        <f t="shared" si="309"/>
        <v/>
      </c>
      <c r="P251" s="26">
        <f t="shared" si="310"/>
        <v>0</v>
      </c>
      <c r="Q251" s="20" t="s">
        <v>41</v>
      </c>
      <c r="R251" s="20">
        <f t="shared" si="302"/>
        <v>0</v>
      </c>
      <c r="S251" s="20">
        <f t="shared" si="303"/>
        <v>0</v>
      </c>
      <c r="T251" s="20">
        <f t="shared" si="311"/>
        <v>0</v>
      </c>
      <c r="U251" s="20">
        <f t="shared" si="312"/>
        <v>0</v>
      </c>
      <c r="V251" s="20" t="str">
        <f t="shared" si="304"/>
        <v/>
      </c>
      <c r="W251" s="20" t="str">
        <f t="shared" si="305"/>
        <v/>
      </c>
      <c r="X251" s="20" t="str">
        <f t="shared" si="313"/>
        <v/>
      </c>
      <c r="Y251">
        <f t="shared" si="314"/>
        <v>0</v>
      </c>
      <c r="Z251">
        <f t="shared" si="315"/>
        <v>0</v>
      </c>
      <c r="AA251" s="14" t="b">
        <f t="shared" si="306"/>
        <v>0</v>
      </c>
      <c r="AB251" s="28" t="str">
        <f t="shared" si="316"/>
        <v/>
      </c>
      <c r="AC251" s="20" t="str">
        <f t="shared" si="317"/>
        <v/>
      </c>
      <c r="AD251" s="20" t="str">
        <f t="shared" si="318"/>
        <v/>
      </c>
    </row>
    <row r="252" spans="1:30" ht="15" customHeight="1">
      <c r="A252" s="54"/>
      <c r="B252" s="60"/>
      <c r="C252" s="33" t="str">
        <f t="shared" ref="C252" si="391">IF(C251="Teks Uraian","",IF(OR(LEN(C251)&lt;1,LEN(D252)&lt;1),"","A"))</f>
        <v/>
      </c>
      <c r="D252" s="38"/>
      <c r="E252" s="44"/>
      <c r="F252" s="52"/>
      <c r="G252" s="57"/>
      <c r="H252" s="38"/>
      <c r="I252" s="38"/>
      <c r="J252" s="48"/>
      <c r="K252" s="49"/>
      <c r="M252" s="25">
        <f t="shared" si="308"/>
        <v>0</v>
      </c>
      <c r="N252" s="25" t="str">
        <f t="shared" si="327"/>
        <v/>
      </c>
      <c r="O252" s="26" t="str">
        <f t="shared" si="309"/>
        <v/>
      </c>
      <c r="P252" s="26">
        <f t="shared" si="310"/>
        <v>0</v>
      </c>
      <c r="Q252" s="20" t="s">
        <v>41</v>
      </c>
      <c r="R252" s="20">
        <f t="shared" si="302"/>
        <v>0</v>
      </c>
      <c r="S252" s="20">
        <f t="shared" si="303"/>
        <v>0</v>
      </c>
      <c r="T252" s="20">
        <f t="shared" si="311"/>
        <v>0</v>
      </c>
      <c r="U252" s="20">
        <f t="shared" si="312"/>
        <v>0</v>
      </c>
      <c r="V252" s="20" t="str">
        <f t="shared" si="304"/>
        <v/>
      </c>
      <c r="W252" s="20" t="str">
        <f t="shared" si="305"/>
        <v/>
      </c>
      <c r="X252" s="20" t="str">
        <f t="shared" si="313"/>
        <v/>
      </c>
      <c r="Y252">
        <f t="shared" si="314"/>
        <v>0</v>
      </c>
      <c r="Z252">
        <f t="shared" si="315"/>
        <v>0</v>
      </c>
      <c r="AA252" s="14" t="b">
        <f t="shared" si="306"/>
        <v>0</v>
      </c>
      <c r="AB252" s="28" t="str">
        <f t="shared" si="316"/>
        <v/>
      </c>
      <c r="AC252" s="20" t="str">
        <f t="shared" si="317"/>
        <v/>
      </c>
      <c r="AD252" s="20" t="str">
        <f t="shared" si="318"/>
        <v/>
      </c>
    </row>
    <row r="253" spans="1:30" ht="15" customHeight="1">
      <c r="A253" s="54"/>
      <c r="B253" s="60"/>
      <c r="C253" s="33" t="str">
        <f t="shared" ref="C253" si="392">IF(OR(LEN(C252)&lt;1,LEN(D252)&lt;1),"","B")</f>
        <v/>
      </c>
      <c r="D253" s="38"/>
      <c r="E253" s="44"/>
      <c r="F253" s="52"/>
      <c r="G253" s="57"/>
      <c r="H253" s="38"/>
      <c r="I253" s="38"/>
      <c r="J253" s="48"/>
      <c r="K253" s="49"/>
      <c r="M253" s="25">
        <f t="shared" si="308"/>
        <v>0</v>
      </c>
      <c r="N253" s="25" t="str">
        <f t="shared" si="327"/>
        <v/>
      </c>
      <c r="O253" s="26" t="str">
        <f t="shared" si="309"/>
        <v/>
      </c>
      <c r="P253" s="26">
        <f t="shared" si="310"/>
        <v>0</v>
      </c>
      <c r="Q253" s="20" t="s">
        <v>41</v>
      </c>
      <c r="R253" s="20">
        <f t="shared" si="302"/>
        <v>0</v>
      </c>
      <c r="S253" s="20">
        <f t="shared" si="303"/>
        <v>0</v>
      </c>
      <c r="T253" s="20">
        <f t="shared" si="311"/>
        <v>0</v>
      </c>
      <c r="U253" s="20">
        <f t="shared" si="312"/>
        <v>0</v>
      </c>
      <c r="V253" s="20" t="str">
        <f t="shared" si="304"/>
        <v/>
      </c>
      <c r="W253" s="20" t="str">
        <f t="shared" si="305"/>
        <v/>
      </c>
      <c r="X253" s="20" t="str">
        <f t="shared" si="313"/>
        <v/>
      </c>
      <c r="Y253">
        <f t="shared" si="314"/>
        <v>0</v>
      </c>
      <c r="Z253">
        <f t="shared" si="315"/>
        <v>0</v>
      </c>
      <c r="AA253" s="14" t="b">
        <f t="shared" si="306"/>
        <v>0</v>
      </c>
      <c r="AB253" s="28" t="str">
        <f t="shared" si="316"/>
        <v/>
      </c>
      <c r="AC253" s="20" t="str">
        <f t="shared" si="317"/>
        <v/>
      </c>
      <c r="AD253" s="20" t="str">
        <f t="shared" si="318"/>
        <v/>
      </c>
    </row>
    <row r="254" spans="1:30" ht="15" customHeight="1">
      <c r="A254" s="54"/>
      <c r="B254" s="60"/>
      <c r="C254" s="33" t="str">
        <f t="shared" ref="C254" si="393">IF(OR(LEN(C253)&lt;1,LEN(D254)&lt;1),"","C")</f>
        <v/>
      </c>
      <c r="D254" s="38"/>
      <c r="E254" s="42"/>
      <c r="F254" s="52"/>
      <c r="G254" s="57"/>
      <c r="H254" s="38"/>
      <c r="I254" s="38"/>
      <c r="J254" s="48"/>
      <c r="K254" s="49"/>
      <c r="M254" s="25">
        <f t="shared" si="308"/>
        <v>0</v>
      </c>
      <c r="N254" s="25" t="str">
        <f t="shared" si="327"/>
        <v/>
      </c>
      <c r="O254" s="26" t="str">
        <f t="shared" si="309"/>
        <v/>
      </c>
      <c r="P254" s="26">
        <f t="shared" si="310"/>
        <v>0</v>
      </c>
      <c r="Q254" s="20" t="s">
        <v>41</v>
      </c>
      <c r="R254" s="20">
        <f t="shared" si="302"/>
        <v>0</v>
      </c>
      <c r="S254" s="20">
        <f t="shared" si="303"/>
        <v>0</v>
      </c>
      <c r="T254" s="20">
        <f t="shared" si="311"/>
        <v>0</v>
      </c>
      <c r="U254" s="20">
        <f t="shared" si="312"/>
        <v>0</v>
      </c>
      <c r="V254" s="20" t="str">
        <f t="shared" si="304"/>
        <v/>
      </c>
      <c r="W254" s="20" t="str">
        <f t="shared" si="305"/>
        <v/>
      </c>
      <c r="X254" s="20" t="str">
        <f t="shared" si="313"/>
        <v/>
      </c>
      <c r="Y254">
        <f t="shared" si="314"/>
        <v>0</v>
      </c>
      <c r="Z254">
        <f t="shared" si="315"/>
        <v>0</v>
      </c>
      <c r="AA254" s="14" t="b">
        <f t="shared" si="306"/>
        <v>0</v>
      </c>
      <c r="AB254" s="28" t="str">
        <f t="shared" si="316"/>
        <v/>
      </c>
      <c r="AC254" s="20" t="str">
        <f t="shared" si="317"/>
        <v/>
      </c>
      <c r="AD254" s="20" t="str">
        <f t="shared" si="318"/>
        <v/>
      </c>
    </row>
    <row r="255" spans="1:30" ht="15" customHeight="1">
      <c r="A255" s="54"/>
      <c r="B255" s="60"/>
      <c r="C255" s="33" t="str">
        <f t="shared" ref="C255" si="394">IF(OR(LEN(C254)&lt;1,LEN(D255)&lt;1),"","D")</f>
        <v/>
      </c>
      <c r="D255" s="38"/>
      <c r="E255" s="44"/>
      <c r="F255" s="52"/>
      <c r="G255" s="57"/>
      <c r="H255" s="38"/>
      <c r="I255" s="38"/>
      <c r="J255" s="48"/>
      <c r="K255" s="49"/>
      <c r="M255" s="25">
        <f t="shared" si="308"/>
        <v>0</v>
      </c>
      <c r="N255" s="25" t="str">
        <f t="shared" si="327"/>
        <v/>
      </c>
      <c r="O255" s="26" t="str">
        <f t="shared" si="309"/>
        <v/>
      </c>
      <c r="P255" s="26">
        <f t="shared" si="310"/>
        <v>0</v>
      </c>
      <c r="Q255" s="20" t="s">
        <v>41</v>
      </c>
      <c r="R255" s="20">
        <f t="shared" si="302"/>
        <v>0</v>
      </c>
      <c r="S255" s="20">
        <f t="shared" si="303"/>
        <v>0</v>
      </c>
      <c r="T255" s="20">
        <f t="shared" si="311"/>
        <v>0</v>
      </c>
      <c r="U255" s="20">
        <f t="shared" si="312"/>
        <v>0</v>
      </c>
      <c r="V255" s="20" t="str">
        <f t="shared" si="304"/>
        <v/>
      </c>
      <c r="W255" s="20" t="str">
        <f t="shared" si="305"/>
        <v/>
      </c>
      <c r="X255" s="20" t="str">
        <f t="shared" si="313"/>
        <v/>
      </c>
      <c r="Y255">
        <f t="shared" si="314"/>
        <v>0</v>
      </c>
      <c r="Z255">
        <f t="shared" si="315"/>
        <v>0</v>
      </c>
      <c r="AA255" s="14" t="b">
        <f t="shared" si="306"/>
        <v>0</v>
      </c>
      <c r="AB255" s="28" t="str">
        <f t="shared" si="316"/>
        <v/>
      </c>
      <c r="AC255" s="20" t="str">
        <f t="shared" si="317"/>
        <v/>
      </c>
      <c r="AD255" s="20" t="str">
        <f t="shared" si="318"/>
        <v/>
      </c>
    </row>
    <row r="256" spans="1:30" ht="15.75" customHeight="1" thickBot="1">
      <c r="A256" s="55"/>
      <c r="B256" s="61"/>
      <c r="C256" s="36" t="str">
        <f t="shared" ref="C256" si="395">IF(OR(LEN(C255)&lt;1,LEN(D256)&lt;1),"","E")</f>
        <v/>
      </c>
      <c r="D256" s="39"/>
      <c r="E256" s="45"/>
      <c r="F256" s="53"/>
      <c r="G256" s="58"/>
      <c r="H256" s="39"/>
      <c r="I256" s="39"/>
      <c r="J256" s="39"/>
      <c r="K256" s="50"/>
      <c r="M256" s="25">
        <f t="shared" si="308"/>
        <v>0</v>
      </c>
      <c r="N256" s="25" t="str">
        <f t="shared" si="327"/>
        <v/>
      </c>
      <c r="O256" s="26" t="str">
        <f t="shared" si="309"/>
        <v/>
      </c>
      <c r="P256" s="26">
        <f t="shared" si="310"/>
        <v>0</v>
      </c>
      <c r="Q256" s="20" t="s">
        <v>41</v>
      </c>
      <c r="R256" s="20">
        <f t="shared" si="302"/>
        <v>0</v>
      </c>
      <c r="S256" s="20">
        <f t="shared" si="303"/>
        <v>0</v>
      </c>
      <c r="T256" s="20">
        <f t="shared" si="311"/>
        <v>0</v>
      </c>
      <c r="U256" s="20">
        <f t="shared" si="312"/>
        <v>0</v>
      </c>
      <c r="V256" s="20" t="str">
        <f t="shared" si="304"/>
        <v/>
      </c>
      <c r="W256" s="20" t="str">
        <f t="shared" si="305"/>
        <v/>
      </c>
      <c r="X256" s="20" t="str">
        <f t="shared" si="313"/>
        <v/>
      </c>
      <c r="Y256">
        <f t="shared" si="314"/>
        <v>0</v>
      </c>
      <c r="Z256">
        <f t="shared" si="315"/>
        <v>0</v>
      </c>
      <c r="AA256" s="14" t="b">
        <f t="shared" si="306"/>
        <v>0</v>
      </c>
      <c r="AB256" s="28" t="str">
        <f t="shared" si="316"/>
        <v/>
      </c>
      <c r="AC256" s="20" t="str">
        <f t="shared" si="317"/>
        <v/>
      </c>
      <c r="AD256" s="20" t="str">
        <f t="shared" si="318"/>
        <v/>
      </c>
    </row>
    <row r="257" spans="1:30" ht="15" customHeight="1">
      <c r="A257" s="54"/>
      <c r="B257" s="59" t="str">
        <f t="shared" ref="B257" si="396">IF(LEN(A257)&lt;1,"",IF(ISBLANK(B251),"",B251+1))</f>
        <v/>
      </c>
      <c r="C257" s="35" t="str">
        <f t="shared" ref="C257" si="397">IF(ISBLANK(A257),"",IF(A257="Uraian Panjang","Teks Uraian","Teks Soal"))</f>
        <v/>
      </c>
      <c r="D257" s="40"/>
      <c r="E257" s="41"/>
      <c r="F257" s="52" t="str">
        <f t="shared" ref="F257" si="398">IF(ISBLANK(A257),"",IF(A257="Pilihan Ganda","Centang salah satu jawaban disamping pada kolom KUNCI",IF(A257="Jawaban Jamak","Centang beberapa jawaban disamping pada kolom KUNCI",IF(A257="Uraian Panjang","Pastikan tidak ada jawaban yang tercentang pada kolom KUNCI",IF(A257="Esai Koreksi Otomatis","Kunci jawaban adalah teks opsi dan centang opsi tersebut pada kolom KUNCI","ISIKAN JODOHNYA PADA KOLOM KUNCI")))))</f>
        <v/>
      </c>
      <c r="G257" s="56" t="str">
        <f>IF(LEN(A257)&lt;1,"",IF(AA257=FALSE,"Ada kesalahan, mohon perhatikan kolom KETERANGAN",""))</f>
        <v/>
      </c>
      <c r="H257" s="40"/>
      <c r="I257" s="40"/>
      <c r="J257" s="46"/>
      <c r="K257" s="47"/>
      <c r="M257" s="25">
        <f t="shared" si="308"/>
        <v>0</v>
      </c>
      <c r="N257" s="25" t="str">
        <f t="shared" si="327"/>
        <v/>
      </c>
      <c r="O257" s="26" t="str">
        <f t="shared" si="309"/>
        <v/>
      </c>
      <c r="P257" s="26">
        <f t="shared" si="310"/>
        <v>0</v>
      </c>
      <c r="Q257" s="20" t="s">
        <v>41</v>
      </c>
      <c r="R257" s="20">
        <f t="shared" si="302"/>
        <v>0</v>
      </c>
      <c r="S257" s="20">
        <f t="shared" si="303"/>
        <v>0</v>
      </c>
      <c r="T257" s="20">
        <f t="shared" si="311"/>
        <v>0</v>
      </c>
      <c r="U257" s="20">
        <f t="shared" si="312"/>
        <v>0</v>
      </c>
      <c r="V257" s="20" t="str">
        <f t="shared" si="304"/>
        <v/>
      </c>
      <c r="W257" s="20" t="str">
        <f t="shared" si="305"/>
        <v/>
      </c>
      <c r="X257" s="20" t="str">
        <f t="shared" si="313"/>
        <v/>
      </c>
      <c r="Y257">
        <f t="shared" si="314"/>
        <v>0</v>
      </c>
      <c r="Z257">
        <f t="shared" si="315"/>
        <v>0</v>
      </c>
      <c r="AA257" s="14" t="b">
        <f t="shared" si="306"/>
        <v>0</v>
      </c>
      <c r="AB257" s="28" t="str">
        <f t="shared" si="316"/>
        <v/>
      </c>
      <c r="AC257" s="20" t="str">
        <f t="shared" si="317"/>
        <v/>
      </c>
      <c r="AD257" s="20" t="str">
        <f t="shared" si="318"/>
        <v/>
      </c>
    </row>
    <row r="258" spans="1:30" ht="15" customHeight="1">
      <c r="A258" s="54"/>
      <c r="B258" s="60"/>
      <c r="C258" s="33" t="str">
        <f t="shared" ref="C258" si="399">IF(C257="Teks Uraian","",IF(OR(LEN(C257)&lt;1,LEN(D258)&lt;1),"","A"))</f>
        <v/>
      </c>
      <c r="D258" s="38"/>
      <c r="E258" s="44"/>
      <c r="F258" s="52"/>
      <c r="G258" s="57"/>
      <c r="H258" s="38"/>
      <c r="I258" s="38"/>
      <c r="J258" s="48"/>
      <c r="K258" s="49"/>
      <c r="M258" s="25">
        <f t="shared" si="308"/>
        <v>0</v>
      </c>
      <c r="N258" s="25" t="str">
        <f t="shared" si="327"/>
        <v/>
      </c>
      <c r="O258" s="26" t="str">
        <f t="shared" si="309"/>
        <v/>
      </c>
      <c r="P258" s="26">
        <f t="shared" si="310"/>
        <v>0</v>
      </c>
      <c r="Q258" s="20" t="s">
        <v>41</v>
      </c>
      <c r="R258" s="20">
        <f t="shared" si="302"/>
        <v>0</v>
      </c>
      <c r="S258" s="20">
        <f t="shared" si="303"/>
        <v>0</v>
      </c>
      <c r="T258" s="20">
        <f t="shared" si="311"/>
        <v>0</v>
      </c>
      <c r="U258" s="20">
        <f t="shared" si="312"/>
        <v>0</v>
      </c>
      <c r="V258" s="20" t="str">
        <f t="shared" si="304"/>
        <v/>
      </c>
      <c r="W258" s="20" t="str">
        <f t="shared" si="305"/>
        <v/>
      </c>
      <c r="X258" s="20" t="str">
        <f t="shared" si="313"/>
        <v/>
      </c>
      <c r="Y258">
        <f t="shared" si="314"/>
        <v>0</v>
      </c>
      <c r="Z258">
        <f t="shared" si="315"/>
        <v>0</v>
      </c>
      <c r="AA258" s="14" t="b">
        <f t="shared" si="306"/>
        <v>0</v>
      </c>
      <c r="AB258" s="28" t="str">
        <f t="shared" si="316"/>
        <v/>
      </c>
      <c r="AC258" s="20" t="str">
        <f t="shared" si="317"/>
        <v/>
      </c>
      <c r="AD258" s="20" t="str">
        <f t="shared" si="318"/>
        <v/>
      </c>
    </row>
    <row r="259" spans="1:30" ht="15" customHeight="1">
      <c r="A259" s="54"/>
      <c r="B259" s="60"/>
      <c r="C259" s="33" t="str">
        <f t="shared" ref="C259" si="400">IF(OR(LEN(C258)&lt;1,LEN(D258)&lt;1),"","B")</f>
        <v/>
      </c>
      <c r="D259" s="38"/>
      <c r="E259" s="44"/>
      <c r="F259" s="52"/>
      <c r="G259" s="57"/>
      <c r="H259" s="38"/>
      <c r="I259" s="38"/>
      <c r="J259" s="48"/>
      <c r="K259" s="49"/>
      <c r="M259" s="25">
        <f t="shared" si="308"/>
        <v>0</v>
      </c>
      <c r="N259" s="25" t="str">
        <f t="shared" si="327"/>
        <v/>
      </c>
      <c r="O259" s="26" t="str">
        <f t="shared" si="309"/>
        <v/>
      </c>
      <c r="P259" s="26">
        <f t="shared" si="310"/>
        <v>0</v>
      </c>
      <c r="Q259" s="20" t="s">
        <v>41</v>
      </c>
      <c r="R259" s="20">
        <f t="shared" si="302"/>
        <v>0</v>
      </c>
      <c r="S259" s="20">
        <f t="shared" si="303"/>
        <v>0</v>
      </c>
      <c r="T259" s="20">
        <f t="shared" si="311"/>
        <v>0</v>
      </c>
      <c r="U259" s="20">
        <f t="shared" si="312"/>
        <v>0</v>
      </c>
      <c r="V259" s="20" t="str">
        <f t="shared" si="304"/>
        <v/>
      </c>
      <c r="W259" s="20" t="str">
        <f t="shared" si="305"/>
        <v/>
      </c>
      <c r="X259" s="20" t="str">
        <f t="shared" si="313"/>
        <v/>
      </c>
      <c r="Y259">
        <f t="shared" si="314"/>
        <v>0</v>
      </c>
      <c r="Z259">
        <f t="shared" si="315"/>
        <v>0</v>
      </c>
      <c r="AA259" s="14" t="b">
        <f t="shared" si="306"/>
        <v>0</v>
      </c>
      <c r="AB259" s="28" t="str">
        <f t="shared" si="316"/>
        <v/>
      </c>
      <c r="AC259" s="20" t="str">
        <f t="shared" si="317"/>
        <v/>
      </c>
      <c r="AD259" s="20" t="str">
        <f t="shared" si="318"/>
        <v/>
      </c>
    </row>
    <row r="260" spans="1:30" ht="15" customHeight="1">
      <c r="A260" s="54"/>
      <c r="B260" s="60"/>
      <c r="C260" s="33" t="str">
        <f t="shared" ref="C260" si="401">IF(OR(LEN(C259)&lt;1,LEN(D260)&lt;1),"","C")</f>
        <v/>
      </c>
      <c r="D260" s="38"/>
      <c r="E260" s="42"/>
      <c r="F260" s="52"/>
      <c r="G260" s="57"/>
      <c r="H260" s="38"/>
      <c r="I260" s="38"/>
      <c r="J260" s="48"/>
      <c r="K260" s="49"/>
      <c r="M260" s="25">
        <f t="shared" si="308"/>
        <v>0</v>
      </c>
      <c r="N260" s="25" t="str">
        <f t="shared" si="327"/>
        <v/>
      </c>
      <c r="O260" s="26" t="str">
        <f t="shared" si="309"/>
        <v/>
      </c>
      <c r="P260" s="26">
        <f t="shared" si="310"/>
        <v>0</v>
      </c>
      <c r="Q260" s="20" t="s">
        <v>41</v>
      </c>
      <c r="R260" s="20">
        <f t="shared" si="302"/>
        <v>0</v>
      </c>
      <c r="S260" s="20">
        <f t="shared" si="303"/>
        <v>0</v>
      </c>
      <c r="T260" s="20">
        <f t="shared" si="311"/>
        <v>0</v>
      </c>
      <c r="U260" s="20">
        <f t="shared" si="312"/>
        <v>0</v>
      </c>
      <c r="V260" s="20" t="str">
        <f t="shared" si="304"/>
        <v/>
      </c>
      <c r="W260" s="20" t="str">
        <f t="shared" si="305"/>
        <v/>
      </c>
      <c r="X260" s="20" t="str">
        <f t="shared" si="313"/>
        <v/>
      </c>
      <c r="Y260">
        <f t="shared" si="314"/>
        <v>0</v>
      </c>
      <c r="Z260">
        <f t="shared" si="315"/>
        <v>0</v>
      </c>
      <c r="AA260" s="14" t="b">
        <f t="shared" si="306"/>
        <v>0</v>
      </c>
      <c r="AB260" s="28" t="str">
        <f t="shared" si="316"/>
        <v/>
      </c>
      <c r="AC260" s="20" t="str">
        <f t="shared" si="317"/>
        <v/>
      </c>
      <c r="AD260" s="20" t="str">
        <f t="shared" si="318"/>
        <v/>
      </c>
    </row>
    <row r="261" spans="1:30" ht="15" customHeight="1">
      <c r="A261" s="54"/>
      <c r="B261" s="60"/>
      <c r="C261" s="33" t="str">
        <f t="shared" ref="C261" si="402">IF(OR(LEN(C260)&lt;1,LEN(D261)&lt;1),"","D")</f>
        <v/>
      </c>
      <c r="D261" s="38"/>
      <c r="E261" s="44"/>
      <c r="F261" s="52"/>
      <c r="G261" s="57"/>
      <c r="H261" s="38"/>
      <c r="I261" s="38"/>
      <c r="J261" s="48"/>
      <c r="K261" s="49"/>
      <c r="M261" s="25">
        <f t="shared" si="308"/>
        <v>0</v>
      </c>
      <c r="N261" s="25" t="str">
        <f t="shared" si="327"/>
        <v/>
      </c>
      <c r="O261" s="26" t="str">
        <f t="shared" si="309"/>
        <v/>
      </c>
      <c r="P261" s="26">
        <f t="shared" si="310"/>
        <v>0</v>
      </c>
      <c r="Q261" s="20" t="s">
        <v>41</v>
      </c>
      <c r="R261" s="20">
        <f t="shared" ref="R261:R304" si="403">C$1</f>
        <v>0</v>
      </c>
      <c r="S261" s="20">
        <f t="shared" ref="S261:S304" si="404">C$2</f>
        <v>0</v>
      </c>
      <c r="T261" s="20">
        <f t="shared" si="311"/>
        <v>0</v>
      </c>
      <c r="U261" s="20">
        <f t="shared" si="312"/>
        <v>0</v>
      </c>
      <c r="V261" s="20" t="str">
        <f t="shared" ref="V261:V304" si="405">IF(ISBLANK(H261),"",CONCATENATE("&lt;img src='",Q261,R261,"/",S261,"/",T261,"'&gt;&lt;br/&gt;"))</f>
        <v/>
      </c>
      <c r="W261" s="20" t="str">
        <f t="shared" ref="W261:W304" si="406">IF(ISBLANK(I261),"",CONCATENATE("&lt;br/&gt;&lt;img src='",Q261,R261,"/",S261,"/",U261,"'&gt;"))</f>
        <v/>
      </c>
      <c r="X261" s="20" t="str">
        <f t="shared" si="313"/>
        <v/>
      </c>
      <c r="Y261">
        <f t="shared" si="314"/>
        <v>0</v>
      </c>
      <c r="Z261">
        <f t="shared" si="315"/>
        <v>0</v>
      </c>
      <c r="AA261" s="14" t="b">
        <f t="shared" ref="AA261:AA304" si="407">IF(A261="Pilihan Ganda",
 AND(A261="Pilihan Ganda",Y261=1),
 IF(A261="Jawaban Jamak",
  AND(A261="Jawaban Jamak",Y261&gt;1),
  IF(A261="Menjodohkan",
   AND(A261="Menjodohkan",Y261=0),
   IF(A261="Uraian Panjang",
    AND(A261="Uraian Panjang",Y261=0),
    IF(A261="Esai Koreksi Otomatis",
     AND(A261="Esai Koreksi Otomatis",Y261&gt;0)
    )
   )
  )
 )
)</f>
        <v>0</v>
      </c>
      <c r="AB261" s="28" t="str">
        <f t="shared" si="316"/>
        <v/>
      </c>
      <c r="AC261" s="20" t="str">
        <f t="shared" si="317"/>
        <v/>
      </c>
      <c r="AD261" s="20" t="str">
        <f t="shared" si="318"/>
        <v/>
      </c>
    </row>
    <row r="262" spans="1:30" ht="15.75" customHeight="1" thickBot="1">
      <c r="A262" s="55"/>
      <c r="B262" s="61"/>
      <c r="C262" s="36" t="str">
        <f t="shared" ref="C262" si="408">IF(OR(LEN(C261)&lt;1,LEN(D262)&lt;1),"","E")</f>
        <v/>
      </c>
      <c r="D262" s="39"/>
      <c r="E262" s="45"/>
      <c r="F262" s="53"/>
      <c r="G262" s="58"/>
      <c r="H262" s="39"/>
      <c r="I262" s="39"/>
      <c r="J262" s="39"/>
      <c r="K262" s="50"/>
      <c r="M262" s="25">
        <f t="shared" ref="M262:M304" si="409">IF(AND(ISBLANK(A262),ISBLANK(E262)),0,IF(ISBLANK(E262),IF(A262="Pilihan Ganda","S",IF(A262="Jawaban Jamak","M",IF(A262="Uraian Panjang","T",IF(A262="Esai Koreksi Otomatis","T","O")))),IF(E262="v",1,0)))</f>
        <v>0</v>
      </c>
      <c r="N262" s="25" t="str">
        <f t="shared" si="327"/>
        <v/>
      </c>
      <c r="O262" s="26" t="str">
        <f t="shared" ref="O262:O304" si="410">IF(ISBLANK(B262),"",B262)</f>
        <v/>
      </c>
      <c r="P262" s="26">
        <f t="shared" ref="P262:P304" si="411">IF(ISBLANK(D262),0,1)</f>
        <v>0</v>
      </c>
      <c r="Q262" s="20" t="s">
        <v>41</v>
      </c>
      <c r="R262" s="20">
        <f t="shared" si="403"/>
        <v>0</v>
      </c>
      <c r="S262" s="20">
        <f t="shared" si="404"/>
        <v>0</v>
      </c>
      <c r="T262" s="20">
        <f t="shared" ref="T262:T304" si="412">H262</f>
        <v>0</v>
      </c>
      <c r="U262" s="20">
        <f t="shared" ref="U262:U304" si="413">I262</f>
        <v>0</v>
      </c>
      <c r="V262" s="20" t="str">
        <f t="shared" si="405"/>
        <v/>
      </c>
      <c r="W262" s="20" t="str">
        <f t="shared" si="406"/>
        <v/>
      </c>
      <c r="X262" s="20" t="str">
        <f t="shared" ref="X262:X304" si="414">CONCATENATE(V262,SUBSTITUTE(D262,CHAR(34),"&amp;quot;"),AB262,W262,AC262,AD262)</f>
        <v/>
      </c>
      <c r="Y262">
        <f t="shared" ref="Y262:Y304" si="415">COUNTIF(E262:E267,"v")</f>
        <v>0</v>
      </c>
      <c r="Z262">
        <f t="shared" ref="Z262:Z304" si="416">M262</f>
        <v>0</v>
      </c>
      <c r="AA262" s="14" t="b">
        <f t="shared" si="407"/>
        <v>0</v>
      </c>
      <c r="AB262" s="28" t="str">
        <f t="shared" ref="AB262:AB304" si="417">IF(LEN(C262)&gt;1,IF(A262="Menjodohkan",CONCATENATE("&lt;div id='tmfmatchsub' style='background:#bbdefb; border:1px solid #2196f3; padding:5px 10px'&gt;
&lt;ol&gt;","&lt;li&gt;",E263,"&lt;/li&gt;","&lt;li&gt;",E264,"&lt;/li&gt;","&lt;li&gt;",E265,"&lt;/li&gt;","&lt;li&gt;",E266,"&lt;/li&gt;","&lt;li&gt;",E267,"&lt;/li&gt;&lt;/ol&gt;&lt;/div&gt;"),"&amp;nbsp;"),"")</f>
        <v/>
      </c>
      <c r="AC262" s="20" t="str">
        <f t="shared" ref="AC262:AC304" si="418">IF(ISBLANK(J262),"",CONCATENATE("&lt;br/&gt;&lt;audio controls&gt;&lt;source src='",Q262,R262,"/",S262,"/",J262,"'&gt;Your browser does not support the audio element.&lt;/audio&gt;"))</f>
        <v/>
      </c>
      <c r="AD262" s="20" t="str">
        <f t="shared" ref="AD262:AD304" si="419">IF(ISBLANK(K262),"",CONCATENATE("&lt;br/&gt;&lt;video controls&gt;&lt;source src='",Q262,R262,"/",S262,"/",K262,"'&gt;Your browser does not support the video element.&lt;/video&gt;"))</f>
        <v/>
      </c>
    </row>
    <row r="263" spans="1:30" ht="15" customHeight="1">
      <c r="A263" s="54"/>
      <c r="B263" s="59" t="str">
        <f t="shared" ref="B263" si="420">IF(LEN(A263)&lt;1,"",IF(ISBLANK(B257),"",B257+1))</f>
        <v/>
      </c>
      <c r="C263" s="35" t="str">
        <f t="shared" ref="C263" si="421">IF(ISBLANK(A263),"",IF(A263="Uraian Panjang","Teks Uraian","Teks Soal"))</f>
        <v/>
      </c>
      <c r="D263" s="40"/>
      <c r="E263" s="41"/>
      <c r="F263" s="52" t="str">
        <f t="shared" ref="F263" si="422">IF(ISBLANK(A263),"",IF(A263="Pilihan Ganda","Centang salah satu jawaban disamping pada kolom KUNCI",IF(A263="Jawaban Jamak","Centang beberapa jawaban disamping pada kolom KUNCI",IF(A263="Uraian Panjang","Pastikan tidak ada jawaban yang tercentang pada kolom KUNCI",IF(A263="Esai Koreksi Otomatis","Kunci jawaban adalah teks opsi dan centang opsi tersebut pada kolom KUNCI","ISIKAN JODOHNYA PADA KOLOM KUNCI")))))</f>
        <v/>
      </c>
      <c r="G263" s="56" t="str">
        <f>IF(LEN(A263)&lt;1,"",IF(AA263=FALSE,"Ada kesalahan, mohon perhatikan kolom KETERANGAN",""))</f>
        <v/>
      </c>
      <c r="H263" s="40"/>
      <c r="I263" s="40"/>
      <c r="J263" s="46"/>
      <c r="K263" s="47"/>
      <c r="M263" s="25">
        <f t="shared" si="409"/>
        <v>0</v>
      </c>
      <c r="N263" s="25" t="str">
        <f t="shared" si="327"/>
        <v/>
      </c>
      <c r="O263" s="26" t="str">
        <f t="shared" si="410"/>
        <v/>
      </c>
      <c r="P263" s="26">
        <f t="shared" si="411"/>
        <v>0</v>
      </c>
      <c r="Q263" s="20" t="s">
        <v>41</v>
      </c>
      <c r="R263" s="20">
        <f t="shared" si="403"/>
        <v>0</v>
      </c>
      <c r="S263" s="20">
        <f t="shared" si="404"/>
        <v>0</v>
      </c>
      <c r="T263" s="20">
        <f t="shared" si="412"/>
        <v>0</v>
      </c>
      <c r="U263" s="20">
        <f t="shared" si="413"/>
        <v>0</v>
      </c>
      <c r="V263" s="20" t="str">
        <f t="shared" si="405"/>
        <v/>
      </c>
      <c r="W263" s="20" t="str">
        <f t="shared" si="406"/>
        <v/>
      </c>
      <c r="X263" s="20" t="str">
        <f t="shared" si="414"/>
        <v/>
      </c>
      <c r="Y263">
        <f t="shared" si="415"/>
        <v>0</v>
      </c>
      <c r="Z263">
        <f t="shared" si="416"/>
        <v>0</v>
      </c>
      <c r="AA263" s="14" t="b">
        <f t="shared" si="407"/>
        <v>0</v>
      </c>
      <c r="AB263" s="28" t="str">
        <f t="shared" si="417"/>
        <v/>
      </c>
      <c r="AC263" s="20" t="str">
        <f t="shared" si="418"/>
        <v/>
      </c>
      <c r="AD263" s="20" t="str">
        <f t="shared" si="419"/>
        <v/>
      </c>
    </row>
    <row r="264" spans="1:30" ht="15" customHeight="1">
      <c r="A264" s="54"/>
      <c r="B264" s="60"/>
      <c r="C264" s="33" t="str">
        <f t="shared" ref="C264" si="423">IF(C263="Teks Uraian","",IF(OR(LEN(C263)&lt;1,LEN(D264)&lt;1),"","A"))</f>
        <v/>
      </c>
      <c r="D264" s="38"/>
      <c r="E264" s="44"/>
      <c r="F264" s="52"/>
      <c r="G264" s="57"/>
      <c r="H264" s="38"/>
      <c r="I264" s="38"/>
      <c r="J264" s="48"/>
      <c r="K264" s="49"/>
      <c r="M264" s="25">
        <f t="shared" si="409"/>
        <v>0</v>
      </c>
      <c r="N264" s="25" t="str">
        <f t="shared" si="327"/>
        <v/>
      </c>
      <c r="O264" s="26" t="str">
        <f t="shared" si="410"/>
        <v/>
      </c>
      <c r="P264" s="26">
        <f t="shared" si="411"/>
        <v>0</v>
      </c>
      <c r="Q264" s="20" t="s">
        <v>41</v>
      </c>
      <c r="R264" s="20">
        <f t="shared" si="403"/>
        <v>0</v>
      </c>
      <c r="S264" s="20">
        <f t="shared" si="404"/>
        <v>0</v>
      </c>
      <c r="T264" s="20">
        <f t="shared" si="412"/>
        <v>0</v>
      </c>
      <c r="U264" s="20">
        <f t="shared" si="413"/>
        <v>0</v>
      </c>
      <c r="V264" s="20" t="str">
        <f t="shared" si="405"/>
        <v/>
      </c>
      <c r="W264" s="20" t="str">
        <f t="shared" si="406"/>
        <v/>
      </c>
      <c r="X264" s="20" t="str">
        <f t="shared" si="414"/>
        <v/>
      </c>
      <c r="Y264">
        <f t="shared" si="415"/>
        <v>0</v>
      </c>
      <c r="Z264">
        <f t="shared" si="416"/>
        <v>0</v>
      </c>
      <c r="AA264" s="14" t="b">
        <f t="shared" si="407"/>
        <v>0</v>
      </c>
      <c r="AB264" s="28" t="str">
        <f t="shared" si="417"/>
        <v/>
      </c>
      <c r="AC264" s="20" t="str">
        <f t="shared" si="418"/>
        <v/>
      </c>
      <c r="AD264" s="20" t="str">
        <f t="shared" si="419"/>
        <v/>
      </c>
    </row>
    <row r="265" spans="1:30" ht="15" customHeight="1">
      <c r="A265" s="54"/>
      <c r="B265" s="60"/>
      <c r="C265" s="33" t="str">
        <f t="shared" ref="C265" si="424">IF(OR(LEN(C264)&lt;1,LEN(D264)&lt;1),"","B")</f>
        <v/>
      </c>
      <c r="D265" s="38"/>
      <c r="E265" s="44"/>
      <c r="F265" s="52"/>
      <c r="G265" s="57"/>
      <c r="H265" s="38"/>
      <c r="I265" s="38"/>
      <c r="J265" s="48"/>
      <c r="K265" s="49"/>
      <c r="M265" s="25">
        <f t="shared" si="409"/>
        <v>0</v>
      </c>
      <c r="N265" s="25" t="str">
        <f t="shared" si="327"/>
        <v/>
      </c>
      <c r="O265" s="26" t="str">
        <f t="shared" si="410"/>
        <v/>
      </c>
      <c r="P265" s="26">
        <f t="shared" si="411"/>
        <v>0</v>
      </c>
      <c r="Q265" s="20" t="s">
        <v>41</v>
      </c>
      <c r="R265" s="20">
        <f t="shared" si="403"/>
        <v>0</v>
      </c>
      <c r="S265" s="20">
        <f t="shared" si="404"/>
        <v>0</v>
      </c>
      <c r="T265" s="20">
        <f t="shared" si="412"/>
        <v>0</v>
      </c>
      <c r="U265" s="20">
        <f t="shared" si="413"/>
        <v>0</v>
      </c>
      <c r="V265" s="20" t="str">
        <f t="shared" si="405"/>
        <v/>
      </c>
      <c r="W265" s="20" t="str">
        <f t="shared" si="406"/>
        <v/>
      </c>
      <c r="X265" s="20" t="str">
        <f t="shared" si="414"/>
        <v/>
      </c>
      <c r="Y265">
        <f t="shared" si="415"/>
        <v>0</v>
      </c>
      <c r="Z265">
        <f t="shared" si="416"/>
        <v>0</v>
      </c>
      <c r="AA265" s="14" t="b">
        <f t="shared" si="407"/>
        <v>0</v>
      </c>
      <c r="AB265" s="28" t="str">
        <f t="shared" si="417"/>
        <v/>
      </c>
      <c r="AC265" s="20" t="str">
        <f t="shared" si="418"/>
        <v/>
      </c>
      <c r="AD265" s="20" t="str">
        <f t="shared" si="419"/>
        <v/>
      </c>
    </row>
    <row r="266" spans="1:30" ht="15" customHeight="1">
      <c r="A266" s="54"/>
      <c r="B266" s="60"/>
      <c r="C266" s="33" t="str">
        <f t="shared" ref="C266" si="425">IF(OR(LEN(C265)&lt;1,LEN(D266)&lt;1),"","C")</f>
        <v/>
      </c>
      <c r="D266" s="38"/>
      <c r="E266" s="42"/>
      <c r="F266" s="52"/>
      <c r="G266" s="57"/>
      <c r="H266" s="38"/>
      <c r="I266" s="38"/>
      <c r="J266" s="48"/>
      <c r="K266" s="49"/>
      <c r="M266" s="25">
        <f t="shared" si="409"/>
        <v>0</v>
      </c>
      <c r="N266" s="25" t="str">
        <f t="shared" si="327"/>
        <v/>
      </c>
      <c r="O266" s="26" t="str">
        <f t="shared" si="410"/>
        <v/>
      </c>
      <c r="P266" s="26">
        <f t="shared" si="411"/>
        <v>0</v>
      </c>
      <c r="Q266" s="20" t="s">
        <v>41</v>
      </c>
      <c r="R266" s="20">
        <f t="shared" si="403"/>
        <v>0</v>
      </c>
      <c r="S266" s="20">
        <f t="shared" si="404"/>
        <v>0</v>
      </c>
      <c r="T266" s="20">
        <f t="shared" si="412"/>
        <v>0</v>
      </c>
      <c r="U266" s="20">
        <f t="shared" si="413"/>
        <v>0</v>
      </c>
      <c r="V266" s="20" t="str">
        <f t="shared" si="405"/>
        <v/>
      </c>
      <c r="W266" s="20" t="str">
        <f t="shared" si="406"/>
        <v/>
      </c>
      <c r="X266" s="20" t="str">
        <f t="shared" si="414"/>
        <v/>
      </c>
      <c r="Y266">
        <f t="shared" si="415"/>
        <v>0</v>
      </c>
      <c r="Z266">
        <f t="shared" si="416"/>
        <v>0</v>
      </c>
      <c r="AA266" s="14" t="b">
        <f t="shared" si="407"/>
        <v>0</v>
      </c>
      <c r="AB266" s="28" t="str">
        <f t="shared" si="417"/>
        <v/>
      </c>
      <c r="AC266" s="20" t="str">
        <f t="shared" si="418"/>
        <v/>
      </c>
      <c r="AD266" s="20" t="str">
        <f t="shared" si="419"/>
        <v/>
      </c>
    </row>
    <row r="267" spans="1:30" ht="15" customHeight="1">
      <c r="A267" s="54"/>
      <c r="B267" s="60"/>
      <c r="C267" s="33" t="str">
        <f t="shared" ref="C267" si="426">IF(OR(LEN(C266)&lt;1,LEN(D267)&lt;1),"","D")</f>
        <v/>
      </c>
      <c r="D267" s="38"/>
      <c r="E267" s="44"/>
      <c r="F267" s="52"/>
      <c r="G267" s="57"/>
      <c r="H267" s="38"/>
      <c r="I267" s="38"/>
      <c r="J267" s="48"/>
      <c r="K267" s="49"/>
      <c r="M267" s="25">
        <f t="shared" si="409"/>
        <v>0</v>
      </c>
      <c r="N267" s="25" t="str">
        <f t="shared" si="327"/>
        <v/>
      </c>
      <c r="O267" s="26" t="str">
        <f t="shared" si="410"/>
        <v/>
      </c>
      <c r="P267" s="26">
        <f t="shared" si="411"/>
        <v>0</v>
      </c>
      <c r="Q267" s="20" t="s">
        <v>41</v>
      </c>
      <c r="R267" s="20">
        <f t="shared" si="403"/>
        <v>0</v>
      </c>
      <c r="S267" s="20">
        <f t="shared" si="404"/>
        <v>0</v>
      </c>
      <c r="T267" s="20">
        <f t="shared" si="412"/>
        <v>0</v>
      </c>
      <c r="U267" s="20">
        <f t="shared" si="413"/>
        <v>0</v>
      </c>
      <c r="V267" s="20" t="str">
        <f t="shared" si="405"/>
        <v/>
      </c>
      <c r="W267" s="20" t="str">
        <f t="shared" si="406"/>
        <v/>
      </c>
      <c r="X267" s="20" t="str">
        <f t="shared" si="414"/>
        <v/>
      </c>
      <c r="Y267">
        <f t="shared" si="415"/>
        <v>0</v>
      </c>
      <c r="Z267">
        <f t="shared" si="416"/>
        <v>0</v>
      </c>
      <c r="AA267" s="14" t="b">
        <f t="shared" si="407"/>
        <v>0</v>
      </c>
      <c r="AB267" s="28" t="str">
        <f t="shared" si="417"/>
        <v/>
      </c>
      <c r="AC267" s="20" t="str">
        <f t="shared" si="418"/>
        <v/>
      </c>
      <c r="AD267" s="20" t="str">
        <f t="shared" si="419"/>
        <v/>
      </c>
    </row>
    <row r="268" spans="1:30" ht="15.75" customHeight="1" thickBot="1">
      <c r="A268" s="55"/>
      <c r="B268" s="61"/>
      <c r="C268" s="36" t="str">
        <f t="shared" ref="C268" si="427">IF(OR(LEN(C267)&lt;1,LEN(D268)&lt;1),"","E")</f>
        <v/>
      </c>
      <c r="D268" s="39"/>
      <c r="E268" s="45"/>
      <c r="F268" s="53"/>
      <c r="G268" s="58"/>
      <c r="H268" s="39"/>
      <c r="I268" s="39"/>
      <c r="J268" s="39"/>
      <c r="K268" s="50"/>
      <c r="M268" s="25">
        <f t="shared" si="409"/>
        <v>0</v>
      </c>
      <c r="N268" s="25" t="str">
        <f t="shared" ref="N268:N304" si="428">IF(LEN(C268)&gt;1,1,IF(C268="A",1,IF(C268="B",2,IF(C268="C",3,IF(C268="D",4,IF(C268="E",5,""))))))</f>
        <v/>
      </c>
      <c r="O268" s="26" t="str">
        <f t="shared" si="410"/>
        <v/>
      </c>
      <c r="P268" s="26">
        <f t="shared" si="411"/>
        <v>0</v>
      </c>
      <c r="Q268" s="20" t="s">
        <v>41</v>
      </c>
      <c r="R268" s="20">
        <f t="shared" si="403"/>
        <v>0</v>
      </c>
      <c r="S268" s="20">
        <f t="shared" si="404"/>
        <v>0</v>
      </c>
      <c r="T268" s="20">
        <f t="shared" si="412"/>
        <v>0</v>
      </c>
      <c r="U268" s="20">
        <f t="shared" si="413"/>
        <v>0</v>
      </c>
      <c r="V268" s="20" t="str">
        <f t="shared" si="405"/>
        <v/>
      </c>
      <c r="W268" s="20" t="str">
        <f t="shared" si="406"/>
        <v/>
      </c>
      <c r="X268" s="20" t="str">
        <f t="shared" si="414"/>
        <v/>
      </c>
      <c r="Y268">
        <f t="shared" si="415"/>
        <v>0</v>
      </c>
      <c r="Z268">
        <f t="shared" si="416"/>
        <v>0</v>
      </c>
      <c r="AA268" s="14" t="b">
        <f t="shared" si="407"/>
        <v>0</v>
      </c>
      <c r="AB268" s="28" t="str">
        <f t="shared" si="417"/>
        <v/>
      </c>
      <c r="AC268" s="20" t="str">
        <f t="shared" si="418"/>
        <v/>
      </c>
      <c r="AD268" s="20" t="str">
        <f t="shared" si="419"/>
        <v/>
      </c>
    </row>
    <row r="269" spans="1:30" ht="15" customHeight="1">
      <c r="A269" s="54"/>
      <c r="B269" s="59" t="str">
        <f t="shared" ref="B269" si="429">IF(LEN(A269)&lt;1,"",IF(ISBLANK(B263),"",B263+1))</f>
        <v/>
      </c>
      <c r="C269" s="35" t="str">
        <f t="shared" ref="C269" si="430">IF(ISBLANK(A269),"",IF(A269="Uraian Panjang","Teks Uraian","Teks Soal"))</f>
        <v/>
      </c>
      <c r="D269" s="40"/>
      <c r="E269" s="41"/>
      <c r="F269" s="52" t="str">
        <f t="shared" ref="F269" si="431">IF(ISBLANK(A269),"",IF(A269="Pilihan Ganda","Centang salah satu jawaban disamping pada kolom KUNCI",IF(A269="Jawaban Jamak","Centang beberapa jawaban disamping pada kolom KUNCI",IF(A269="Uraian Panjang","Pastikan tidak ada jawaban yang tercentang pada kolom KUNCI",IF(A269="Esai Koreksi Otomatis","Kunci jawaban adalah teks opsi dan centang opsi tersebut pada kolom KUNCI","ISIKAN JODOHNYA PADA KOLOM KUNCI")))))</f>
        <v/>
      </c>
      <c r="G269" s="56" t="str">
        <f>IF(LEN(A269)&lt;1,"",IF(AA269=FALSE,"Ada kesalahan, mohon perhatikan kolom KETERANGAN",""))</f>
        <v/>
      </c>
      <c r="H269" s="40"/>
      <c r="I269" s="40"/>
      <c r="J269" s="46"/>
      <c r="K269" s="47"/>
      <c r="M269" s="25">
        <f t="shared" si="409"/>
        <v>0</v>
      </c>
      <c r="N269" s="25" t="str">
        <f t="shared" si="428"/>
        <v/>
      </c>
      <c r="O269" s="26" t="str">
        <f t="shared" si="410"/>
        <v/>
      </c>
      <c r="P269" s="26">
        <f t="shared" si="411"/>
        <v>0</v>
      </c>
      <c r="Q269" s="20" t="s">
        <v>41</v>
      </c>
      <c r="R269" s="20">
        <f t="shared" si="403"/>
        <v>0</v>
      </c>
      <c r="S269" s="20">
        <f t="shared" si="404"/>
        <v>0</v>
      </c>
      <c r="T269" s="20">
        <f t="shared" si="412"/>
        <v>0</v>
      </c>
      <c r="U269" s="20">
        <f t="shared" si="413"/>
        <v>0</v>
      </c>
      <c r="V269" s="20" t="str">
        <f t="shared" si="405"/>
        <v/>
      </c>
      <c r="W269" s="20" t="str">
        <f t="shared" si="406"/>
        <v/>
      </c>
      <c r="X269" s="20" t="str">
        <f t="shared" si="414"/>
        <v/>
      </c>
      <c r="Y269">
        <f t="shared" si="415"/>
        <v>0</v>
      </c>
      <c r="Z269">
        <f t="shared" si="416"/>
        <v>0</v>
      </c>
      <c r="AA269" s="14" t="b">
        <f t="shared" si="407"/>
        <v>0</v>
      </c>
      <c r="AB269" s="28" t="str">
        <f t="shared" si="417"/>
        <v/>
      </c>
      <c r="AC269" s="20" t="str">
        <f t="shared" si="418"/>
        <v/>
      </c>
      <c r="AD269" s="20" t="str">
        <f t="shared" si="419"/>
        <v/>
      </c>
    </row>
    <row r="270" spans="1:30" ht="15" customHeight="1">
      <c r="A270" s="54"/>
      <c r="B270" s="60"/>
      <c r="C270" s="33" t="str">
        <f t="shared" ref="C270" si="432">IF(C269="Teks Uraian","",IF(OR(LEN(C269)&lt;1,LEN(D270)&lt;1),"","A"))</f>
        <v/>
      </c>
      <c r="D270" s="38"/>
      <c r="E270" s="44"/>
      <c r="F270" s="52"/>
      <c r="G270" s="57"/>
      <c r="H270" s="38"/>
      <c r="I270" s="38"/>
      <c r="J270" s="48"/>
      <c r="K270" s="49"/>
      <c r="M270" s="25">
        <f t="shared" si="409"/>
        <v>0</v>
      </c>
      <c r="N270" s="25" t="str">
        <f t="shared" si="428"/>
        <v/>
      </c>
      <c r="O270" s="26" t="str">
        <f t="shared" si="410"/>
        <v/>
      </c>
      <c r="P270" s="26">
        <f t="shared" si="411"/>
        <v>0</v>
      </c>
      <c r="Q270" s="20" t="s">
        <v>41</v>
      </c>
      <c r="R270" s="20">
        <f t="shared" si="403"/>
        <v>0</v>
      </c>
      <c r="S270" s="20">
        <f t="shared" si="404"/>
        <v>0</v>
      </c>
      <c r="T270" s="20">
        <f t="shared" si="412"/>
        <v>0</v>
      </c>
      <c r="U270" s="20">
        <f t="shared" si="413"/>
        <v>0</v>
      </c>
      <c r="V270" s="20" t="str">
        <f t="shared" si="405"/>
        <v/>
      </c>
      <c r="W270" s="20" t="str">
        <f t="shared" si="406"/>
        <v/>
      </c>
      <c r="X270" s="20" t="str">
        <f t="shared" si="414"/>
        <v/>
      </c>
      <c r="Y270">
        <f t="shared" si="415"/>
        <v>0</v>
      </c>
      <c r="Z270">
        <f t="shared" si="416"/>
        <v>0</v>
      </c>
      <c r="AA270" s="14" t="b">
        <f t="shared" si="407"/>
        <v>0</v>
      </c>
      <c r="AB270" s="28" t="str">
        <f t="shared" si="417"/>
        <v/>
      </c>
      <c r="AC270" s="20" t="str">
        <f t="shared" si="418"/>
        <v/>
      </c>
      <c r="AD270" s="20" t="str">
        <f t="shared" si="419"/>
        <v/>
      </c>
    </row>
    <row r="271" spans="1:30" ht="15" customHeight="1">
      <c r="A271" s="54"/>
      <c r="B271" s="60"/>
      <c r="C271" s="33" t="str">
        <f t="shared" ref="C271" si="433">IF(OR(LEN(C270)&lt;1,LEN(D270)&lt;1),"","B")</f>
        <v/>
      </c>
      <c r="D271" s="38"/>
      <c r="E271" s="44"/>
      <c r="F271" s="52"/>
      <c r="G271" s="57"/>
      <c r="H271" s="38"/>
      <c r="I271" s="38"/>
      <c r="J271" s="48"/>
      <c r="K271" s="49"/>
      <c r="M271" s="25">
        <f t="shared" si="409"/>
        <v>0</v>
      </c>
      <c r="N271" s="25" t="str">
        <f t="shared" si="428"/>
        <v/>
      </c>
      <c r="O271" s="26" t="str">
        <f t="shared" si="410"/>
        <v/>
      </c>
      <c r="P271" s="26">
        <f t="shared" si="411"/>
        <v>0</v>
      </c>
      <c r="Q271" s="20" t="s">
        <v>41</v>
      </c>
      <c r="R271" s="20">
        <f t="shared" si="403"/>
        <v>0</v>
      </c>
      <c r="S271" s="20">
        <f t="shared" si="404"/>
        <v>0</v>
      </c>
      <c r="T271" s="20">
        <f t="shared" si="412"/>
        <v>0</v>
      </c>
      <c r="U271" s="20">
        <f t="shared" si="413"/>
        <v>0</v>
      </c>
      <c r="V271" s="20" t="str">
        <f t="shared" si="405"/>
        <v/>
      </c>
      <c r="W271" s="20" t="str">
        <f t="shared" si="406"/>
        <v/>
      </c>
      <c r="X271" s="20" t="str">
        <f t="shared" si="414"/>
        <v/>
      </c>
      <c r="Y271">
        <f t="shared" si="415"/>
        <v>0</v>
      </c>
      <c r="Z271">
        <f t="shared" si="416"/>
        <v>0</v>
      </c>
      <c r="AA271" s="14" t="b">
        <f t="shared" si="407"/>
        <v>0</v>
      </c>
      <c r="AB271" s="28" t="str">
        <f t="shared" si="417"/>
        <v/>
      </c>
      <c r="AC271" s="20" t="str">
        <f t="shared" si="418"/>
        <v/>
      </c>
      <c r="AD271" s="20" t="str">
        <f t="shared" si="419"/>
        <v/>
      </c>
    </row>
    <row r="272" spans="1:30" ht="15" customHeight="1">
      <c r="A272" s="54"/>
      <c r="B272" s="60"/>
      <c r="C272" s="33" t="str">
        <f t="shared" ref="C272" si="434">IF(OR(LEN(C271)&lt;1,LEN(D272)&lt;1),"","C")</f>
        <v/>
      </c>
      <c r="D272" s="38"/>
      <c r="E272" s="42"/>
      <c r="F272" s="52"/>
      <c r="G272" s="57"/>
      <c r="H272" s="38"/>
      <c r="I272" s="38"/>
      <c r="J272" s="48"/>
      <c r="K272" s="49"/>
      <c r="M272" s="25">
        <f t="shared" si="409"/>
        <v>0</v>
      </c>
      <c r="N272" s="25" t="str">
        <f t="shared" si="428"/>
        <v/>
      </c>
      <c r="O272" s="26" t="str">
        <f t="shared" si="410"/>
        <v/>
      </c>
      <c r="P272" s="26">
        <f t="shared" si="411"/>
        <v>0</v>
      </c>
      <c r="Q272" s="20" t="s">
        <v>41</v>
      </c>
      <c r="R272" s="20">
        <f t="shared" si="403"/>
        <v>0</v>
      </c>
      <c r="S272" s="20">
        <f t="shared" si="404"/>
        <v>0</v>
      </c>
      <c r="T272" s="20">
        <f t="shared" si="412"/>
        <v>0</v>
      </c>
      <c r="U272" s="20">
        <f t="shared" si="413"/>
        <v>0</v>
      </c>
      <c r="V272" s="20" t="str">
        <f t="shared" si="405"/>
        <v/>
      </c>
      <c r="W272" s="20" t="str">
        <f t="shared" si="406"/>
        <v/>
      </c>
      <c r="X272" s="20" t="str">
        <f t="shared" si="414"/>
        <v/>
      </c>
      <c r="Y272">
        <f t="shared" si="415"/>
        <v>0</v>
      </c>
      <c r="Z272">
        <f t="shared" si="416"/>
        <v>0</v>
      </c>
      <c r="AA272" s="14" t="b">
        <f t="shared" si="407"/>
        <v>0</v>
      </c>
      <c r="AB272" s="28" t="str">
        <f t="shared" si="417"/>
        <v/>
      </c>
      <c r="AC272" s="20" t="str">
        <f t="shared" si="418"/>
        <v/>
      </c>
      <c r="AD272" s="20" t="str">
        <f t="shared" si="419"/>
        <v/>
      </c>
    </row>
    <row r="273" spans="1:30" ht="15" customHeight="1">
      <c r="A273" s="54"/>
      <c r="B273" s="60"/>
      <c r="C273" s="33" t="str">
        <f t="shared" ref="C273" si="435">IF(OR(LEN(C272)&lt;1,LEN(D273)&lt;1),"","D")</f>
        <v/>
      </c>
      <c r="D273" s="38"/>
      <c r="E273" s="44"/>
      <c r="F273" s="52"/>
      <c r="G273" s="57"/>
      <c r="H273" s="38"/>
      <c r="I273" s="38"/>
      <c r="J273" s="48"/>
      <c r="K273" s="49"/>
      <c r="M273" s="25">
        <f t="shared" si="409"/>
        <v>0</v>
      </c>
      <c r="N273" s="25" t="str">
        <f t="shared" si="428"/>
        <v/>
      </c>
      <c r="O273" s="26" t="str">
        <f t="shared" si="410"/>
        <v/>
      </c>
      <c r="P273" s="26">
        <f t="shared" si="411"/>
        <v>0</v>
      </c>
      <c r="Q273" s="20" t="s">
        <v>41</v>
      </c>
      <c r="R273" s="20">
        <f t="shared" si="403"/>
        <v>0</v>
      </c>
      <c r="S273" s="20">
        <f t="shared" si="404"/>
        <v>0</v>
      </c>
      <c r="T273" s="20">
        <f t="shared" si="412"/>
        <v>0</v>
      </c>
      <c r="U273" s="20">
        <f t="shared" si="413"/>
        <v>0</v>
      </c>
      <c r="V273" s="20" t="str">
        <f t="shared" si="405"/>
        <v/>
      </c>
      <c r="W273" s="20" t="str">
        <f t="shared" si="406"/>
        <v/>
      </c>
      <c r="X273" s="20" t="str">
        <f t="shared" si="414"/>
        <v/>
      </c>
      <c r="Y273">
        <f t="shared" si="415"/>
        <v>0</v>
      </c>
      <c r="Z273">
        <f t="shared" si="416"/>
        <v>0</v>
      </c>
      <c r="AA273" s="14" t="b">
        <f t="shared" si="407"/>
        <v>0</v>
      </c>
      <c r="AB273" s="28" t="str">
        <f t="shared" si="417"/>
        <v/>
      </c>
      <c r="AC273" s="20" t="str">
        <f t="shared" si="418"/>
        <v/>
      </c>
      <c r="AD273" s="20" t="str">
        <f t="shared" si="419"/>
        <v/>
      </c>
    </row>
    <row r="274" spans="1:30" ht="15.75" customHeight="1" thickBot="1">
      <c r="A274" s="55"/>
      <c r="B274" s="61"/>
      <c r="C274" s="36" t="str">
        <f t="shared" ref="C274" si="436">IF(OR(LEN(C273)&lt;1,LEN(D274)&lt;1),"","E")</f>
        <v/>
      </c>
      <c r="D274" s="39"/>
      <c r="E274" s="45"/>
      <c r="F274" s="53"/>
      <c r="G274" s="58"/>
      <c r="H274" s="39"/>
      <c r="I274" s="39"/>
      <c r="J274" s="39"/>
      <c r="K274" s="50"/>
      <c r="M274" s="25">
        <f t="shared" si="409"/>
        <v>0</v>
      </c>
      <c r="N274" s="25" t="str">
        <f t="shared" si="428"/>
        <v/>
      </c>
      <c r="O274" s="26" t="str">
        <f t="shared" si="410"/>
        <v/>
      </c>
      <c r="P274" s="26">
        <f t="shared" si="411"/>
        <v>0</v>
      </c>
      <c r="Q274" s="20" t="s">
        <v>41</v>
      </c>
      <c r="R274" s="20">
        <f t="shared" si="403"/>
        <v>0</v>
      </c>
      <c r="S274" s="20">
        <f t="shared" si="404"/>
        <v>0</v>
      </c>
      <c r="T274" s="20">
        <f t="shared" si="412"/>
        <v>0</v>
      </c>
      <c r="U274" s="20">
        <f t="shared" si="413"/>
        <v>0</v>
      </c>
      <c r="V274" s="20" t="str">
        <f t="shared" si="405"/>
        <v/>
      </c>
      <c r="W274" s="20" t="str">
        <f t="shared" si="406"/>
        <v/>
      </c>
      <c r="X274" s="20" t="str">
        <f t="shared" si="414"/>
        <v/>
      </c>
      <c r="Y274">
        <f t="shared" si="415"/>
        <v>0</v>
      </c>
      <c r="Z274">
        <f t="shared" si="416"/>
        <v>0</v>
      </c>
      <c r="AA274" s="14" t="b">
        <f t="shared" si="407"/>
        <v>0</v>
      </c>
      <c r="AB274" s="28" t="str">
        <f t="shared" si="417"/>
        <v/>
      </c>
      <c r="AC274" s="20" t="str">
        <f t="shared" si="418"/>
        <v/>
      </c>
      <c r="AD274" s="20" t="str">
        <f t="shared" si="419"/>
        <v/>
      </c>
    </row>
    <row r="275" spans="1:30" ht="15" customHeight="1">
      <c r="A275" s="54"/>
      <c r="B275" s="59" t="str">
        <f t="shared" ref="B275" si="437">IF(LEN(A275)&lt;1,"",IF(ISBLANK(B269),"",B269+1))</f>
        <v/>
      </c>
      <c r="C275" s="35" t="str">
        <f t="shared" ref="C275" si="438">IF(ISBLANK(A275),"",IF(A275="Uraian Panjang","Teks Uraian","Teks Soal"))</f>
        <v/>
      </c>
      <c r="D275" s="40"/>
      <c r="E275" s="41"/>
      <c r="F275" s="52" t="str">
        <f t="shared" ref="F275" si="439">IF(ISBLANK(A275),"",IF(A275="Pilihan Ganda","Centang salah satu jawaban disamping pada kolom KUNCI",IF(A275="Jawaban Jamak","Centang beberapa jawaban disamping pada kolom KUNCI",IF(A275="Uraian Panjang","Pastikan tidak ada jawaban yang tercentang pada kolom KUNCI",IF(A275="Esai Koreksi Otomatis","Kunci jawaban adalah teks opsi dan centang opsi tersebut pada kolom KUNCI","ISIKAN JODOHNYA PADA KOLOM KUNCI")))))</f>
        <v/>
      </c>
      <c r="G275" s="56" t="str">
        <f>IF(LEN(A275)&lt;1,"",IF(AA275=FALSE,"Ada kesalahan, mohon perhatikan kolom KETERANGAN",""))</f>
        <v/>
      </c>
      <c r="H275" s="40"/>
      <c r="I275" s="40"/>
      <c r="J275" s="46"/>
      <c r="K275" s="47"/>
      <c r="M275" s="25">
        <f t="shared" si="409"/>
        <v>0</v>
      </c>
      <c r="N275" s="25" t="str">
        <f t="shared" si="428"/>
        <v/>
      </c>
      <c r="O275" s="26" t="str">
        <f t="shared" si="410"/>
        <v/>
      </c>
      <c r="P275" s="26">
        <f t="shared" si="411"/>
        <v>0</v>
      </c>
      <c r="Q275" s="20" t="s">
        <v>41</v>
      </c>
      <c r="R275" s="20">
        <f t="shared" si="403"/>
        <v>0</v>
      </c>
      <c r="S275" s="20">
        <f t="shared" si="404"/>
        <v>0</v>
      </c>
      <c r="T275" s="20">
        <f t="shared" si="412"/>
        <v>0</v>
      </c>
      <c r="U275" s="20">
        <f t="shared" si="413"/>
        <v>0</v>
      </c>
      <c r="V275" s="20" t="str">
        <f t="shared" si="405"/>
        <v/>
      </c>
      <c r="W275" s="20" t="str">
        <f t="shared" si="406"/>
        <v/>
      </c>
      <c r="X275" s="20" t="str">
        <f t="shared" si="414"/>
        <v/>
      </c>
      <c r="Y275">
        <f t="shared" si="415"/>
        <v>0</v>
      </c>
      <c r="Z275">
        <f t="shared" si="416"/>
        <v>0</v>
      </c>
      <c r="AA275" s="14" t="b">
        <f t="shared" si="407"/>
        <v>0</v>
      </c>
      <c r="AB275" s="28" t="str">
        <f t="shared" si="417"/>
        <v/>
      </c>
      <c r="AC275" s="20" t="str">
        <f t="shared" si="418"/>
        <v/>
      </c>
      <c r="AD275" s="20" t="str">
        <f t="shared" si="419"/>
        <v/>
      </c>
    </row>
    <row r="276" spans="1:30" ht="15" customHeight="1">
      <c r="A276" s="54"/>
      <c r="B276" s="60"/>
      <c r="C276" s="33" t="str">
        <f t="shared" ref="C276" si="440">IF(C275="Teks Uraian","",IF(OR(LEN(C275)&lt;1,LEN(D276)&lt;1),"","A"))</f>
        <v/>
      </c>
      <c r="D276" s="38"/>
      <c r="E276" s="44"/>
      <c r="F276" s="52"/>
      <c r="G276" s="57"/>
      <c r="H276" s="38"/>
      <c r="I276" s="38"/>
      <c r="J276" s="48"/>
      <c r="K276" s="49"/>
      <c r="M276" s="25">
        <f t="shared" si="409"/>
        <v>0</v>
      </c>
      <c r="N276" s="25" t="str">
        <f t="shared" si="428"/>
        <v/>
      </c>
      <c r="O276" s="26" t="str">
        <f t="shared" si="410"/>
        <v/>
      </c>
      <c r="P276" s="26">
        <f t="shared" si="411"/>
        <v>0</v>
      </c>
      <c r="Q276" s="20" t="s">
        <v>41</v>
      </c>
      <c r="R276" s="20">
        <f t="shared" si="403"/>
        <v>0</v>
      </c>
      <c r="S276" s="20">
        <f t="shared" si="404"/>
        <v>0</v>
      </c>
      <c r="T276" s="20">
        <f t="shared" si="412"/>
        <v>0</v>
      </c>
      <c r="U276" s="20">
        <f t="shared" si="413"/>
        <v>0</v>
      </c>
      <c r="V276" s="20" t="str">
        <f t="shared" si="405"/>
        <v/>
      </c>
      <c r="W276" s="20" t="str">
        <f t="shared" si="406"/>
        <v/>
      </c>
      <c r="X276" s="20" t="str">
        <f t="shared" si="414"/>
        <v/>
      </c>
      <c r="Y276">
        <f t="shared" si="415"/>
        <v>0</v>
      </c>
      <c r="Z276">
        <f t="shared" si="416"/>
        <v>0</v>
      </c>
      <c r="AA276" s="14" t="b">
        <f t="shared" si="407"/>
        <v>0</v>
      </c>
      <c r="AB276" s="28" t="str">
        <f t="shared" si="417"/>
        <v/>
      </c>
      <c r="AC276" s="20" t="str">
        <f t="shared" si="418"/>
        <v/>
      </c>
      <c r="AD276" s="20" t="str">
        <f t="shared" si="419"/>
        <v/>
      </c>
    </row>
    <row r="277" spans="1:30" ht="15" customHeight="1">
      <c r="A277" s="54"/>
      <c r="B277" s="60"/>
      <c r="C277" s="33" t="str">
        <f t="shared" ref="C277" si="441">IF(OR(LEN(C276)&lt;1,LEN(D276)&lt;1),"","B")</f>
        <v/>
      </c>
      <c r="D277" s="38"/>
      <c r="E277" s="44"/>
      <c r="F277" s="52"/>
      <c r="G277" s="57"/>
      <c r="H277" s="38"/>
      <c r="I277" s="38"/>
      <c r="J277" s="48"/>
      <c r="K277" s="49"/>
      <c r="M277" s="25">
        <f t="shared" si="409"/>
        <v>0</v>
      </c>
      <c r="N277" s="25" t="str">
        <f t="shared" si="428"/>
        <v/>
      </c>
      <c r="O277" s="26" t="str">
        <f t="shared" si="410"/>
        <v/>
      </c>
      <c r="P277" s="26">
        <f t="shared" si="411"/>
        <v>0</v>
      </c>
      <c r="Q277" s="20" t="s">
        <v>41</v>
      </c>
      <c r="R277" s="20">
        <f t="shared" si="403"/>
        <v>0</v>
      </c>
      <c r="S277" s="20">
        <f t="shared" si="404"/>
        <v>0</v>
      </c>
      <c r="T277" s="20">
        <f t="shared" si="412"/>
        <v>0</v>
      </c>
      <c r="U277" s="20">
        <f t="shared" si="413"/>
        <v>0</v>
      </c>
      <c r="V277" s="20" t="str">
        <f t="shared" si="405"/>
        <v/>
      </c>
      <c r="W277" s="20" t="str">
        <f t="shared" si="406"/>
        <v/>
      </c>
      <c r="X277" s="20" t="str">
        <f t="shared" si="414"/>
        <v/>
      </c>
      <c r="Y277">
        <f t="shared" si="415"/>
        <v>0</v>
      </c>
      <c r="Z277">
        <f t="shared" si="416"/>
        <v>0</v>
      </c>
      <c r="AA277" s="14" t="b">
        <f t="shared" si="407"/>
        <v>0</v>
      </c>
      <c r="AB277" s="28" t="str">
        <f t="shared" si="417"/>
        <v/>
      </c>
      <c r="AC277" s="20" t="str">
        <f t="shared" si="418"/>
        <v/>
      </c>
      <c r="AD277" s="20" t="str">
        <f t="shared" si="419"/>
        <v/>
      </c>
    </row>
    <row r="278" spans="1:30" ht="15" customHeight="1">
      <c r="A278" s="54"/>
      <c r="B278" s="60"/>
      <c r="C278" s="33" t="str">
        <f t="shared" ref="C278" si="442">IF(OR(LEN(C277)&lt;1,LEN(D278)&lt;1),"","C")</f>
        <v/>
      </c>
      <c r="D278" s="38"/>
      <c r="E278" s="42"/>
      <c r="F278" s="52"/>
      <c r="G278" s="57"/>
      <c r="H278" s="38"/>
      <c r="I278" s="38"/>
      <c r="J278" s="48"/>
      <c r="K278" s="49"/>
      <c r="M278" s="25">
        <f t="shared" si="409"/>
        <v>0</v>
      </c>
      <c r="N278" s="25" t="str">
        <f t="shared" si="428"/>
        <v/>
      </c>
      <c r="O278" s="26" t="str">
        <f t="shared" si="410"/>
        <v/>
      </c>
      <c r="P278" s="26">
        <f t="shared" si="411"/>
        <v>0</v>
      </c>
      <c r="Q278" s="20" t="s">
        <v>41</v>
      </c>
      <c r="R278" s="20">
        <f t="shared" si="403"/>
        <v>0</v>
      </c>
      <c r="S278" s="20">
        <f t="shared" si="404"/>
        <v>0</v>
      </c>
      <c r="T278" s="20">
        <f t="shared" si="412"/>
        <v>0</v>
      </c>
      <c r="U278" s="20">
        <f t="shared" si="413"/>
        <v>0</v>
      </c>
      <c r="V278" s="20" t="str">
        <f t="shared" si="405"/>
        <v/>
      </c>
      <c r="W278" s="20" t="str">
        <f t="shared" si="406"/>
        <v/>
      </c>
      <c r="X278" s="20" t="str">
        <f t="shared" si="414"/>
        <v/>
      </c>
      <c r="Y278">
        <f t="shared" si="415"/>
        <v>0</v>
      </c>
      <c r="Z278">
        <f t="shared" si="416"/>
        <v>0</v>
      </c>
      <c r="AA278" s="14" t="b">
        <f t="shared" si="407"/>
        <v>0</v>
      </c>
      <c r="AB278" s="28" t="str">
        <f t="shared" si="417"/>
        <v/>
      </c>
      <c r="AC278" s="20" t="str">
        <f t="shared" si="418"/>
        <v/>
      </c>
      <c r="AD278" s="20" t="str">
        <f t="shared" si="419"/>
        <v/>
      </c>
    </row>
    <row r="279" spans="1:30" ht="15" customHeight="1">
      <c r="A279" s="54"/>
      <c r="B279" s="60"/>
      <c r="C279" s="33" t="str">
        <f t="shared" ref="C279" si="443">IF(OR(LEN(C278)&lt;1,LEN(D279)&lt;1),"","D")</f>
        <v/>
      </c>
      <c r="D279" s="38"/>
      <c r="E279" s="44"/>
      <c r="F279" s="52"/>
      <c r="G279" s="57"/>
      <c r="H279" s="38"/>
      <c r="I279" s="38"/>
      <c r="J279" s="48"/>
      <c r="K279" s="49"/>
      <c r="M279" s="25">
        <f t="shared" si="409"/>
        <v>0</v>
      </c>
      <c r="N279" s="25" t="str">
        <f t="shared" si="428"/>
        <v/>
      </c>
      <c r="O279" s="26" t="str">
        <f t="shared" si="410"/>
        <v/>
      </c>
      <c r="P279" s="26">
        <f t="shared" si="411"/>
        <v>0</v>
      </c>
      <c r="Q279" s="20" t="s">
        <v>41</v>
      </c>
      <c r="R279" s="20">
        <f t="shared" si="403"/>
        <v>0</v>
      </c>
      <c r="S279" s="20">
        <f t="shared" si="404"/>
        <v>0</v>
      </c>
      <c r="T279" s="20">
        <f t="shared" si="412"/>
        <v>0</v>
      </c>
      <c r="U279" s="20">
        <f t="shared" si="413"/>
        <v>0</v>
      </c>
      <c r="V279" s="20" t="str">
        <f t="shared" si="405"/>
        <v/>
      </c>
      <c r="W279" s="20" t="str">
        <f t="shared" si="406"/>
        <v/>
      </c>
      <c r="X279" s="20" t="str">
        <f t="shared" si="414"/>
        <v/>
      </c>
      <c r="Y279">
        <f t="shared" si="415"/>
        <v>0</v>
      </c>
      <c r="Z279">
        <f t="shared" si="416"/>
        <v>0</v>
      </c>
      <c r="AA279" s="14" t="b">
        <f t="shared" si="407"/>
        <v>0</v>
      </c>
      <c r="AB279" s="28" t="str">
        <f t="shared" si="417"/>
        <v/>
      </c>
      <c r="AC279" s="20" t="str">
        <f t="shared" si="418"/>
        <v/>
      </c>
      <c r="AD279" s="20" t="str">
        <f t="shared" si="419"/>
        <v/>
      </c>
    </row>
    <row r="280" spans="1:30" ht="15.75" customHeight="1" thickBot="1">
      <c r="A280" s="55"/>
      <c r="B280" s="61"/>
      <c r="C280" s="36" t="str">
        <f t="shared" ref="C280" si="444">IF(OR(LEN(C279)&lt;1,LEN(D280)&lt;1),"","E")</f>
        <v/>
      </c>
      <c r="D280" s="39"/>
      <c r="E280" s="45"/>
      <c r="F280" s="53"/>
      <c r="G280" s="58"/>
      <c r="H280" s="39"/>
      <c r="I280" s="39"/>
      <c r="J280" s="39"/>
      <c r="K280" s="50"/>
      <c r="M280" s="25">
        <f t="shared" si="409"/>
        <v>0</v>
      </c>
      <c r="N280" s="25" t="str">
        <f t="shared" si="428"/>
        <v/>
      </c>
      <c r="O280" s="26" t="str">
        <f t="shared" si="410"/>
        <v/>
      </c>
      <c r="P280" s="26">
        <f t="shared" si="411"/>
        <v>0</v>
      </c>
      <c r="Q280" s="20" t="s">
        <v>41</v>
      </c>
      <c r="R280" s="20">
        <f t="shared" si="403"/>
        <v>0</v>
      </c>
      <c r="S280" s="20">
        <f t="shared" si="404"/>
        <v>0</v>
      </c>
      <c r="T280" s="20">
        <f t="shared" si="412"/>
        <v>0</v>
      </c>
      <c r="U280" s="20">
        <f t="shared" si="413"/>
        <v>0</v>
      </c>
      <c r="V280" s="20" t="str">
        <f t="shared" si="405"/>
        <v/>
      </c>
      <c r="W280" s="20" t="str">
        <f t="shared" si="406"/>
        <v/>
      </c>
      <c r="X280" s="20" t="str">
        <f t="shared" si="414"/>
        <v/>
      </c>
      <c r="Y280">
        <f t="shared" si="415"/>
        <v>0</v>
      </c>
      <c r="Z280">
        <f t="shared" si="416"/>
        <v>0</v>
      </c>
      <c r="AA280" s="14" t="b">
        <f t="shared" si="407"/>
        <v>0</v>
      </c>
      <c r="AB280" s="28" t="str">
        <f t="shared" si="417"/>
        <v/>
      </c>
      <c r="AC280" s="20" t="str">
        <f t="shared" si="418"/>
        <v/>
      </c>
      <c r="AD280" s="20" t="str">
        <f t="shared" si="419"/>
        <v/>
      </c>
    </row>
    <row r="281" spans="1:30" ht="15" customHeight="1">
      <c r="A281" s="54"/>
      <c r="B281" s="59" t="str">
        <f t="shared" ref="B281" si="445">IF(LEN(A281)&lt;1,"",IF(ISBLANK(B275),"",B275+1))</f>
        <v/>
      </c>
      <c r="C281" s="35" t="str">
        <f t="shared" ref="C281" si="446">IF(ISBLANK(A281),"",IF(A281="Uraian Panjang","Teks Uraian","Teks Soal"))</f>
        <v/>
      </c>
      <c r="D281" s="40"/>
      <c r="E281" s="41"/>
      <c r="F281" s="52" t="str">
        <f t="shared" ref="F281" si="447">IF(ISBLANK(A281),"",IF(A281="Pilihan Ganda","Centang salah satu jawaban disamping pada kolom KUNCI",IF(A281="Jawaban Jamak","Centang beberapa jawaban disamping pada kolom KUNCI",IF(A281="Uraian Panjang","Pastikan tidak ada jawaban yang tercentang pada kolom KUNCI",IF(A281="Esai Koreksi Otomatis","Kunci jawaban adalah teks opsi dan centang opsi tersebut pada kolom KUNCI","ISIKAN JODOHNYA PADA KOLOM KUNCI")))))</f>
        <v/>
      </c>
      <c r="G281" s="56" t="str">
        <f>IF(LEN(A281)&lt;1,"",IF(AA281=FALSE,"Ada kesalahan, mohon perhatikan kolom KETERANGAN",""))</f>
        <v/>
      </c>
      <c r="H281" s="40"/>
      <c r="I281" s="40"/>
      <c r="J281" s="46"/>
      <c r="K281" s="47"/>
      <c r="M281" s="25">
        <f t="shared" si="409"/>
        <v>0</v>
      </c>
      <c r="N281" s="25" t="str">
        <f t="shared" si="428"/>
        <v/>
      </c>
      <c r="O281" s="26" t="str">
        <f t="shared" si="410"/>
        <v/>
      </c>
      <c r="P281" s="26">
        <f t="shared" si="411"/>
        <v>0</v>
      </c>
      <c r="Q281" s="20" t="s">
        <v>41</v>
      </c>
      <c r="R281" s="20">
        <f t="shared" si="403"/>
        <v>0</v>
      </c>
      <c r="S281" s="20">
        <f t="shared" si="404"/>
        <v>0</v>
      </c>
      <c r="T281" s="20">
        <f t="shared" si="412"/>
        <v>0</v>
      </c>
      <c r="U281" s="20">
        <f t="shared" si="413"/>
        <v>0</v>
      </c>
      <c r="V281" s="20" t="str">
        <f t="shared" si="405"/>
        <v/>
      </c>
      <c r="W281" s="20" t="str">
        <f t="shared" si="406"/>
        <v/>
      </c>
      <c r="X281" s="20" t="str">
        <f t="shared" si="414"/>
        <v/>
      </c>
      <c r="Y281">
        <f t="shared" si="415"/>
        <v>0</v>
      </c>
      <c r="Z281">
        <f t="shared" si="416"/>
        <v>0</v>
      </c>
      <c r="AA281" s="14" t="b">
        <f t="shared" si="407"/>
        <v>0</v>
      </c>
      <c r="AB281" s="28" t="str">
        <f t="shared" si="417"/>
        <v/>
      </c>
      <c r="AC281" s="20" t="str">
        <f t="shared" si="418"/>
        <v/>
      </c>
      <c r="AD281" s="20" t="str">
        <f t="shared" si="419"/>
        <v/>
      </c>
    </row>
    <row r="282" spans="1:30" ht="15" customHeight="1">
      <c r="A282" s="54"/>
      <c r="B282" s="60"/>
      <c r="C282" s="33" t="str">
        <f t="shared" ref="C282" si="448">IF(C281="Teks Uraian","",IF(OR(LEN(C281)&lt;1,LEN(D282)&lt;1),"","A"))</f>
        <v/>
      </c>
      <c r="D282" s="38"/>
      <c r="E282" s="44"/>
      <c r="F282" s="52"/>
      <c r="G282" s="57"/>
      <c r="H282" s="38"/>
      <c r="I282" s="38"/>
      <c r="J282" s="48"/>
      <c r="K282" s="49"/>
      <c r="M282" s="25">
        <f t="shared" si="409"/>
        <v>0</v>
      </c>
      <c r="N282" s="25" t="str">
        <f t="shared" si="428"/>
        <v/>
      </c>
      <c r="O282" s="26" t="str">
        <f t="shared" si="410"/>
        <v/>
      </c>
      <c r="P282" s="26">
        <f t="shared" si="411"/>
        <v>0</v>
      </c>
      <c r="Q282" s="20" t="s">
        <v>41</v>
      </c>
      <c r="R282" s="20">
        <f t="shared" si="403"/>
        <v>0</v>
      </c>
      <c r="S282" s="20">
        <f t="shared" si="404"/>
        <v>0</v>
      </c>
      <c r="T282" s="20">
        <f t="shared" si="412"/>
        <v>0</v>
      </c>
      <c r="U282" s="20">
        <f t="shared" si="413"/>
        <v>0</v>
      </c>
      <c r="V282" s="20" t="str">
        <f t="shared" si="405"/>
        <v/>
      </c>
      <c r="W282" s="20" t="str">
        <f t="shared" si="406"/>
        <v/>
      </c>
      <c r="X282" s="20" t="str">
        <f t="shared" si="414"/>
        <v/>
      </c>
      <c r="Y282">
        <f t="shared" si="415"/>
        <v>0</v>
      </c>
      <c r="Z282">
        <f t="shared" si="416"/>
        <v>0</v>
      </c>
      <c r="AA282" s="14" t="b">
        <f t="shared" si="407"/>
        <v>0</v>
      </c>
      <c r="AB282" s="28" t="str">
        <f t="shared" si="417"/>
        <v/>
      </c>
      <c r="AC282" s="20" t="str">
        <f t="shared" si="418"/>
        <v/>
      </c>
      <c r="AD282" s="20" t="str">
        <f t="shared" si="419"/>
        <v/>
      </c>
    </row>
    <row r="283" spans="1:30" ht="15" customHeight="1">
      <c r="A283" s="54"/>
      <c r="B283" s="60"/>
      <c r="C283" s="33" t="str">
        <f t="shared" ref="C283" si="449">IF(OR(LEN(C282)&lt;1,LEN(D282)&lt;1),"","B")</f>
        <v/>
      </c>
      <c r="D283" s="38"/>
      <c r="E283" s="44"/>
      <c r="F283" s="52"/>
      <c r="G283" s="57"/>
      <c r="H283" s="38"/>
      <c r="I283" s="38"/>
      <c r="J283" s="48"/>
      <c r="K283" s="49"/>
      <c r="M283" s="25">
        <f t="shared" si="409"/>
        <v>0</v>
      </c>
      <c r="N283" s="25" t="str">
        <f t="shared" si="428"/>
        <v/>
      </c>
      <c r="O283" s="26" t="str">
        <f t="shared" si="410"/>
        <v/>
      </c>
      <c r="P283" s="26">
        <f t="shared" si="411"/>
        <v>0</v>
      </c>
      <c r="Q283" s="20" t="s">
        <v>41</v>
      </c>
      <c r="R283" s="20">
        <f t="shared" si="403"/>
        <v>0</v>
      </c>
      <c r="S283" s="20">
        <f t="shared" si="404"/>
        <v>0</v>
      </c>
      <c r="T283" s="20">
        <f t="shared" si="412"/>
        <v>0</v>
      </c>
      <c r="U283" s="20">
        <f t="shared" si="413"/>
        <v>0</v>
      </c>
      <c r="V283" s="20" t="str">
        <f t="shared" si="405"/>
        <v/>
      </c>
      <c r="W283" s="20" t="str">
        <f t="shared" si="406"/>
        <v/>
      </c>
      <c r="X283" s="20" t="str">
        <f t="shared" si="414"/>
        <v/>
      </c>
      <c r="Y283">
        <f t="shared" si="415"/>
        <v>0</v>
      </c>
      <c r="Z283">
        <f t="shared" si="416"/>
        <v>0</v>
      </c>
      <c r="AA283" s="14" t="b">
        <f t="shared" si="407"/>
        <v>0</v>
      </c>
      <c r="AB283" s="28" t="str">
        <f t="shared" si="417"/>
        <v/>
      </c>
      <c r="AC283" s="20" t="str">
        <f t="shared" si="418"/>
        <v/>
      </c>
      <c r="AD283" s="20" t="str">
        <f t="shared" si="419"/>
        <v/>
      </c>
    </row>
    <row r="284" spans="1:30" ht="15" customHeight="1">
      <c r="A284" s="54"/>
      <c r="B284" s="60"/>
      <c r="C284" s="33" t="str">
        <f t="shared" ref="C284" si="450">IF(OR(LEN(C283)&lt;1,LEN(D284)&lt;1),"","C")</f>
        <v/>
      </c>
      <c r="D284" s="38"/>
      <c r="E284" s="42"/>
      <c r="F284" s="52"/>
      <c r="G284" s="57"/>
      <c r="H284" s="38"/>
      <c r="I284" s="38"/>
      <c r="J284" s="48"/>
      <c r="K284" s="49"/>
      <c r="M284" s="25">
        <f t="shared" si="409"/>
        <v>0</v>
      </c>
      <c r="N284" s="25" t="str">
        <f t="shared" si="428"/>
        <v/>
      </c>
      <c r="O284" s="26" t="str">
        <f t="shared" si="410"/>
        <v/>
      </c>
      <c r="P284" s="26">
        <f t="shared" si="411"/>
        <v>0</v>
      </c>
      <c r="Q284" s="20" t="s">
        <v>41</v>
      </c>
      <c r="R284" s="20">
        <f t="shared" si="403"/>
        <v>0</v>
      </c>
      <c r="S284" s="20">
        <f t="shared" si="404"/>
        <v>0</v>
      </c>
      <c r="T284" s="20">
        <f t="shared" si="412"/>
        <v>0</v>
      </c>
      <c r="U284" s="20">
        <f t="shared" si="413"/>
        <v>0</v>
      </c>
      <c r="V284" s="20" t="str">
        <f t="shared" si="405"/>
        <v/>
      </c>
      <c r="W284" s="20" t="str">
        <f t="shared" si="406"/>
        <v/>
      </c>
      <c r="X284" s="20" t="str">
        <f t="shared" si="414"/>
        <v/>
      </c>
      <c r="Y284">
        <f t="shared" si="415"/>
        <v>0</v>
      </c>
      <c r="Z284">
        <f t="shared" si="416"/>
        <v>0</v>
      </c>
      <c r="AA284" s="14" t="b">
        <f t="shared" si="407"/>
        <v>0</v>
      </c>
      <c r="AB284" s="28" t="str">
        <f t="shared" si="417"/>
        <v/>
      </c>
      <c r="AC284" s="20" t="str">
        <f t="shared" si="418"/>
        <v/>
      </c>
      <c r="AD284" s="20" t="str">
        <f t="shared" si="419"/>
        <v/>
      </c>
    </row>
    <row r="285" spans="1:30" ht="15" customHeight="1">
      <c r="A285" s="54"/>
      <c r="B285" s="60"/>
      <c r="C285" s="33" t="str">
        <f t="shared" ref="C285" si="451">IF(OR(LEN(C284)&lt;1,LEN(D285)&lt;1),"","D")</f>
        <v/>
      </c>
      <c r="D285" s="38"/>
      <c r="E285" s="44"/>
      <c r="F285" s="52"/>
      <c r="G285" s="57"/>
      <c r="H285" s="38"/>
      <c r="I285" s="38"/>
      <c r="J285" s="48"/>
      <c r="K285" s="49"/>
      <c r="M285" s="25">
        <f t="shared" si="409"/>
        <v>0</v>
      </c>
      <c r="N285" s="25" t="str">
        <f t="shared" si="428"/>
        <v/>
      </c>
      <c r="O285" s="26" t="str">
        <f t="shared" si="410"/>
        <v/>
      </c>
      <c r="P285" s="26">
        <f t="shared" si="411"/>
        <v>0</v>
      </c>
      <c r="Q285" s="20" t="s">
        <v>41</v>
      </c>
      <c r="R285" s="20">
        <f t="shared" si="403"/>
        <v>0</v>
      </c>
      <c r="S285" s="20">
        <f t="shared" si="404"/>
        <v>0</v>
      </c>
      <c r="T285" s="20">
        <f t="shared" si="412"/>
        <v>0</v>
      </c>
      <c r="U285" s="20">
        <f t="shared" si="413"/>
        <v>0</v>
      </c>
      <c r="V285" s="20" t="str">
        <f t="shared" si="405"/>
        <v/>
      </c>
      <c r="W285" s="20" t="str">
        <f t="shared" si="406"/>
        <v/>
      </c>
      <c r="X285" s="20" t="str">
        <f t="shared" si="414"/>
        <v/>
      </c>
      <c r="Y285">
        <f t="shared" si="415"/>
        <v>0</v>
      </c>
      <c r="Z285">
        <f t="shared" si="416"/>
        <v>0</v>
      </c>
      <c r="AA285" s="14" t="b">
        <f t="shared" si="407"/>
        <v>0</v>
      </c>
      <c r="AB285" s="28" t="str">
        <f t="shared" si="417"/>
        <v/>
      </c>
      <c r="AC285" s="20" t="str">
        <f t="shared" si="418"/>
        <v/>
      </c>
      <c r="AD285" s="20" t="str">
        <f t="shared" si="419"/>
        <v/>
      </c>
    </row>
    <row r="286" spans="1:30" ht="15.75" customHeight="1" thickBot="1">
      <c r="A286" s="55"/>
      <c r="B286" s="61"/>
      <c r="C286" s="36" t="str">
        <f t="shared" ref="C286" si="452">IF(OR(LEN(C285)&lt;1,LEN(D286)&lt;1),"","E")</f>
        <v/>
      </c>
      <c r="D286" s="39"/>
      <c r="E286" s="45"/>
      <c r="F286" s="53"/>
      <c r="G286" s="58"/>
      <c r="H286" s="39"/>
      <c r="I286" s="39"/>
      <c r="J286" s="39"/>
      <c r="K286" s="50"/>
      <c r="M286" s="25">
        <f t="shared" si="409"/>
        <v>0</v>
      </c>
      <c r="N286" s="25" t="str">
        <f t="shared" si="428"/>
        <v/>
      </c>
      <c r="O286" s="26" t="str">
        <f t="shared" si="410"/>
        <v/>
      </c>
      <c r="P286" s="26">
        <f t="shared" si="411"/>
        <v>0</v>
      </c>
      <c r="Q286" s="20" t="s">
        <v>41</v>
      </c>
      <c r="R286" s="20">
        <f t="shared" si="403"/>
        <v>0</v>
      </c>
      <c r="S286" s="20">
        <f t="shared" si="404"/>
        <v>0</v>
      </c>
      <c r="T286" s="20">
        <f t="shared" si="412"/>
        <v>0</v>
      </c>
      <c r="U286" s="20">
        <f t="shared" si="413"/>
        <v>0</v>
      </c>
      <c r="V286" s="20" t="str">
        <f t="shared" si="405"/>
        <v/>
      </c>
      <c r="W286" s="20" t="str">
        <f t="shared" si="406"/>
        <v/>
      </c>
      <c r="X286" s="20" t="str">
        <f t="shared" si="414"/>
        <v/>
      </c>
      <c r="Y286">
        <f t="shared" si="415"/>
        <v>0</v>
      </c>
      <c r="Z286">
        <f t="shared" si="416"/>
        <v>0</v>
      </c>
      <c r="AA286" s="14" t="b">
        <f t="shared" si="407"/>
        <v>0</v>
      </c>
      <c r="AB286" s="28" t="str">
        <f t="shared" si="417"/>
        <v/>
      </c>
      <c r="AC286" s="20" t="str">
        <f t="shared" si="418"/>
        <v/>
      </c>
      <c r="AD286" s="20" t="str">
        <f t="shared" si="419"/>
        <v/>
      </c>
    </row>
    <row r="287" spans="1:30" ht="15" customHeight="1">
      <c r="A287" s="54"/>
      <c r="B287" s="59" t="str">
        <f t="shared" ref="B287" si="453">IF(LEN(A287)&lt;1,"",IF(ISBLANK(B281),"",B281+1))</f>
        <v/>
      </c>
      <c r="C287" s="35" t="str">
        <f t="shared" ref="C287" si="454">IF(ISBLANK(A287),"",IF(A287="Uraian Panjang","Teks Uraian","Teks Soal"))</f>
        <v/>
      </c>
      <c r="D287" s="40"/>
      <c r="E287" s="41"/>
      <c r="F287" s="52" t="str">
        <f t="shared" ref="F287" si="455">IF(ISBLANK(A287),"",IF(A287="Pilihan Ganda","Centang salah satu jawaban disamping pada kolom KUNCI",IF(A287="Jawaban Jamak","Centang beberapa jawaban disamping pada kolom KUNCI",IF(A287="Uraian Panjang","Pastikan tidak ada jawaban yang tercentang pada kolom KUNCI",IF(A287="Esai Koreksi Otomatis","Kunci jawaban adalah teks opsi dan centang opsi tersebut pada kolom KUNCI","ISIKAN JODOHNYA PADA KOLOM KUNCI")))))</f>
        <v/>
      </c>
      <c r="G287" s="56" t="str">
        <f>IF(LEN(A287)&lt;1,"",IF(AA287=FALSE,"Ada kesalahan, mohon perhatikan kolom KETERANGAN",""))</f>
        <v/>
      </c>
      <c r="H287" s="40"/>
      <c r="I287" s="40"/>
      <c r="J287" s="46"/>
      <c r="K287" s="47"/>
      <c r="M287" s="25">
        <f t="shared" si="409"/>
        <v>0</v>
      </c>
      <c r="N287" s="25" t="str">
        <f t="shared" si="428"/>
        <v/>
      </c>
      <c r="O287" s="26" t="str">
        <f t="shared" si="410"/>
        <v/>
      </c>
      <c r="P287" s="26">
        <f t="shared" si="411"/>
        <v>0</v>
      </c>
      <c r="Q287" s="20" t="s">
        <v>41</v>
      </c>
      <c r="R287" s="20">
        <f t="shared" si="403"/>
        <v>0</v>
      </c>
      <c r="S287" s="20">
        <f t="shared" si="404"/>
        <v>0</v>
      </c>
      <c r="T287" s="20">
        <f t="shared" si="412"/>
        <v>0</v>
      </c>
      <c r="U287" s="20">
        <f t="shared" si="413"/>
        <v>0</v>
      </c>
      <c r="V287" s="20" t="str">
        <f t="shared" si="405"/>
        <v/>
      </c>
      <c r="W287" s="20" t="str">
        <f t="shared" si="406"/>
        <v/>
      </c>
      <c r="X287" s="20" t="str">
        <f t="shared" si="414"/>
        <v/>
      </c>
      <c r="Y287">
        <f t="shared" si="415"/>
        <v>0</v>
      </c>
      <c r="Z287">
        <f t="shared" si="416"/>
        <v>0</v>
      </c>
      <c r="AA287" s="14" t="b">
        <f t="shared" si="407"/>
        <v>0</v>
      </c>
      <c r="AB287" s="28" t="str">
        <f t="shared" si="417"/>
        <v/>
      </c>
      <c r="AC287" s="20" t="str">
        <f t="shared" si="418"/>
        <v/>
      </c>
      <c r="AD287" s="20" t="str">
        <f t="shared" si="419"/>
        <v/>
      </c>
    </row>
    <row r="288" spans="1:30" ht="15" customHeight="1">
      <c r="A288" s="54"/>
      <c r="B288" s="60"/>
      <c r="C288" s="33" t="str">
        <f t="shared" ref="C288" si="456">IF(C287="Teks Uraian","",IF(OR(LEN(C287)&lt;1,LEN(D288)&lt;1),"","A"))</f>
        <v/>
      </c>
      <c r="D288" s="38"/>
      <c r="E288" s="44"/>
      <c r="F288" s="52"/>
      <c r="G288" s="57"/>
      <c r="H288" s="38"/>
      <c r="I288" s="38"/>
      <c r="J288" s="48"/>
      <c r="K288" s="49"/>
      <c r="M288" s="25">
        <f t="shared" si="409"/>
        <v>0</v>
      </c>
      <c r="N288" s="25" t="str">
        <f t="shared" si="428"/>
        <v/>
      </c>
      <c r="O288" s="26" t="str">
        <f t="shared" si="410"/>
        <v/>
      </c>
      <c r="P288" s="26">
        <f t="shared" si="411"/>
        <v>0</v>
      </c>
      <c r="Q288" s="20" t="s">
        <v>41</v>
      </c>
      <c r="R288" s="20">
        <f t="shared" si="403"/>
        <v>0</v>
      </c>
      <c r="S288" s="20">
        <f t="shared" si="404"/>
        <v>0</v>
      </c>
      <c r="T288" s="20">
        <f t="shared" si="412"/>
        <v>0</v>
      </c>
      <c r="U288" s="20">
        <f t="shared" si="413"/>
        <v>0</v>
      </c>
      <c r="V288" s="20" t="str">
        <f t="shared" si="405"/>
        <v/>
      </c>
      <c r="W288" s="20" t="str">
        <f t="shared" si="406"/>
        <v/>
      </c>
      <c r="X288" s="20" t="str">
        <f t="shared" si="414"/>
        <v/>
      </c>
      <c r="Y288">
        <f t="shared" si="415"/>
        <v>0</v>
      </c>
      <c r="Z288">
        <f t="shared" si="416"/>
        <v>0</v>
      </c>
      <c r="AA288" s="14" t="b">
        <f t="shared" si="407"/>
        <v>0</v>
      </c>
      <c r="AB288" s="28" t="str">
        <f t="shared" si="417"/>
        <v/>
      </c>
      <c r="AC288" s="20" t="str">
        <f t="shared" si="418"/>
        <v/>
      </c>
      <c r="AD288" s="20" t="str">
        <f t="shared" si="419"/>
        <v/>
      </c>
    </row>
    <row r="289" spans="1:30" ht="15" customHeight="1">
      <c r="A289" s="54"/>
      <c r="B289" s="60"/>
      <c r="C289" s="33" t="str">
        <f t="shared" ref="C289" si="457">IF(OR(LEN(C288)&lt;1,LEN(D288)&lt;1),"","B")</f>
        <v/>
      </c>
      <c r="D289" s="38"/>
      <c r="E289" s="44"/>
      <c r="F289" s="52"/>
      <c r="G289" s="57"/>
      <c r="H289" s="38"/>
      <c r="I289" s="38"/>
      <c r="J289" s="48"/>
      <c r="K289" s="49"/>
      <c r="M289" s="25">
        <f t="shared" si="409"/>
        <v>0</v>
      </c>
      <c r="N289" s="25" t="str">
        <f t="shared" si="428"/>
        <v/>
      </c>
      <c r="O289" s="26" t="str">
        <f t="shared" si="410"/>
        <v/>
      </c>
      <c r="P289" s="26">
        <f t="shared" si="411"/>
        <v>0</v>
      </c>
      <c r="Q289" s="20" t="s">
        <v>41</v>
      </c>
      <c r="R289" s="20">
        <f t="shared" si="403"/>
        <v>0</v>
      </c>
      <c r="S289" s="20">
        <f t="shared" si="404"/>
        <v>0</v>
      </c>
      <c r="T289" s="20">
        <f t="shared" si="412"/>
        <v>0</v>
      </c>
      <c r="U289" s="20">
        <f t="shared" si="413"/>
        <v>0</v>
      </c>
      <c r="V289" s="20" t="str">
        <f t="shared" si="405"/>
        <v/>
      </c>
      <c r="W289" s="20" t="str">
        <f t="shared" si="406"/>
        <v/>
      </c>
      <c r="X289" s="20" t="str">
        <f t="shared" si="414"/>
        <v/>
      </c>
      <c r="Y289">
        <f t="shared" si="415"/>
        <v>0</v>
      </c>
      <c r="Z289">
        <f t="shared" si="416"/>
        <v>0</v>
      </c>
      <c r="AA289" s="14" t="b">
        <f t="shared" si="407"/>
        <v>0</v>
      </c>
      <c r="AB289" s="28" t="str">
        <f t="shared" si="417"/>
        <v/>
      </c>
      <c r="AC289" s="20" t="str">
        <f t="shared" si="418"/>
        <v/>
      </c>
      <c r="AD289" s="20" t="str">
        <f t="shared" si="419"/>
        <v/>
      </c>
    </row>
    <row r="290" spans="1:30" ht="15" customHeight="1">
      <c r="A290" s="54"/>
      <c r="B290" s="60"/>
      <c r="C290" s="33" t="str">
        <f t="shared" ref="C290" si="458">IF(OR(LEN(C289)&lt;1,LEN(D290)&lt;1),"","C")</f>
        <v/>
      </c>
      <c r="D290" s="38"/>
      <c r="E290" s="42"/>
      <c r="F290" s="52"/>
      <c r="G290" s="57"/>
      <c r="H290" s="38"/>
      <c r="I290" s="38"/>
      <c r="J290" s="48"/>
      <c r="K290" s="49"/>
      <c r="M290" s="25">
        <f t="shared" si="409"/>
        <v>0</v>
      </c>
      <c r="N290" s="25" t="str">
        <f t="shared" si="428"/>
        <v/>
      </c>
      <c r="O290" s="26" t="str">
        <f t="shared" si="410"/>
        <v/>
      </c>
      <c r="P290" s="26">
        <f t="shared" si="411"/>
        <v>0</v>
      </c>
      <c r="Q290" s="20" t="s">
        <v>41</v>
      </c>
      <c r="R290" s="20">
        <f t="shared" si="403"/>
        <v>0</v>
      </c>
      <c r="S290" s="20">
        <f t="shared" si="404"/>
        <v>0</v>
      </c>
      <c r="T290" s="20">
        <f t="shared" si="412"/>
        <v>0</v>
      </c>
      <c r="U290" s="20">
        <f t="shared" si="413"/>
        <v>0</v>
      </c>
      <c r="V290" s="20" t="str">
        <f t="shared" si="405"/>
        <v/>
      </c>
      <c r="W290" s="20" t="str">
        <f t="shared" si="406"/>
        <v/>
      </c>
      <c r="X290" s="20" t="str">
        <f t="shared" si="414"/>
        <v/>
      </c>
      <c r="Y290">
        <f t="shared" si="415"/>
        <v>0</v>
      </c>
      <c r="Z290">
        <f t="shared" si="416"/>
        <v>0</v>
      </c>
      <c r="AA290" s="14" t="b">
        <f t="shared" si="407"/>
        <v>0</v>
      </c>
      <c r="AB290" s="28" t="str">
        <f t="shared" si="417"/>
        <v/>
      </c>
      <c r="AC290" s="20" t="str">
        <f t="shared" si="418"/>
        <v/>
      </c>
      <c r="AD290" s="20" t="str">
        <f t="shared" si="419"/>
        <v/>
      </c>
    </row>
    <row r="291" spans="1:30" ht="15" customHeight="1">
      <c r="A291" s="54"/>
      <c r="B291" s="60"/>
      <c r="C291" s="33" t="str">
        <f t="shared" ref="C291" si="459">IF(OR(LEN(C290)&lt;1,LEN(D291)&lt;1),"","D")</f>
        <v/>
      </c>
      <c r="D291" s="38"/>
      <c r="E291" s="44"/>
      <c r="F291" s="52"/>
      <c r="G291" s="57"/>
      <c r="H291" s="38"/>
      <c r="I291" s="38"/>
      <c r="J291" s="48"/>
      <c r="K291" s="49"/>
      <c r="M291" s="25">
        <f t="shared" si="409"/>
        <v>0</v>
      </c>
      <c r="N291" s="25" t="str">
        <f t="shared" si="428"/>
        <v/>
      </c>
      <c r="O291" s="26" t="str">
        <f t="shared" si="410"/>
        <v/>
      </c>
      <c r="P291" s="26">
        <f t="shared" si="411"/>
        <v>0</v>
      </c>
      <c r="Q291" s="20" t="s">
        <v>41</v>
      </c>
      <c r="R291" s="20">
        <f t="shared" si="403"/>
        <v>0</v>
      </c>
      <c r="S291" s="20">
        <f t="shared" si="404"/>
        <v>0</v>
      </c>
      <c r="T291" s="20">
        <f t="shared" si="412"/>
        <v>0</v>
      </c>
      <c r="U291" s="20">
        <f t="shared" si="413"/>
        <v>0</v>
      </c>
      <c r="V291" s="20" t="str">
        <f t="shared" si="405"/>
        <v/>
      </c>
      <c r="W291" s="20" t="str">
        <f t="shared" si="406"/>
        <v/>
      </c>
      <c r="X291" s="20" t="str">
        <f t="shared" si="414"/>
        <v/>
      </c>
      <c r="Y291">
        <f t="shared" si="415"/>
        <v>0</v>
      </c>
      <c r="Z291">
        <f t="shared" si="416"/>
        <v>0</v>
      </c>
      <c r="AA291" s="14" t="b">
        <f t="shared" si="407"/>
        <v>0</v>
      </c>
      <c r="AB291" s="28" t="str">
        <f t="shared" si="417"/>
        <v/>
      </c>
      <c r="AC291" s="20" t="str">
        <f t="shared" si="418"/>
        <v/>
      </c>
      <c r="AD291" s="20" t="str">
        <f t="shared" si="419"/>
        <v/>
      </c>
    </row>
    <row r="292" spans="1:30" ht="15.75" customHeight="1" thickBot="1">
      <c r="A292" s="55"/>
      <c r="B292" s="61"/>
      <c r="C292" s="36" t="str">
        <f t="shared" ref="C292" si="460">IF(OR(LEN(C291)&lt;1,LEN(D292)&lt;1),"","E")</f>
        <v/>
      </c>
      <c r="D292" s="39"/>
      <c r="E292" s="45"/>
      <c r="F292" s="53"/>
      <c r="G292" s="58"/>
      <c r="H292" s="39"/>
      <c r="I292" s="39"/>
      <c r="J292" s="39"/>
      <c r="K292" s="50"/>
      <c r="M292" s="25">
        <f t="shared" si="409"/>
        <v>0</v>
      </c>
      <c r="N292" s="25" t="str">
        <f t="shared" si="428"/>
        <v/>
      </c>
      <c r="O292" s="26" t="str">
        <f t="shared" si="410"/>
        <v/>
      </c>
      <c r="P292" s="26">
        <f t="shared" si="411"/>
        <v>0</v>
      </c>
      <c r="Q292" s="20" t="s">
        <v>41</v>
      </c>
      <c r="R292" s="20">
        <f t="shared" si="403"/>
        <v>0</v>
      </c>
      <c r="S292" s="20">
        <f t="shared" si="404"/>
        <v>0</v>
      </c>
      <c r="T292" s="20">
        <f t="shared" si="412"/>
        <v>0</v>
      </c>
      <c r="U292" s="20">
        <f t="shared" si="413"/>
        <v>0</v>
      </c>
      <c r="V292" s="20" t="str">
        <f t="shared" si="405"/>
        <v/>
      </c>
      <c r="W292" s="20" t="str">
        <f t="shared" si="406"/>
        <v/>
      </c>
      <c r="X292" s="20" t="str">
        <f t="shared" si="414"/>
        <v/>
      </c>
      <c r="Y292">
        <f t="shared" si="415"/>
        <v>0</v>
      </c>
      <c r="Z292">
        <f t="shared" si="416"/>
        <v>0</v>
      </c>
      <c r="AA292" s="14" t="b">
        <f t="shared" si="407"/>
        <v>0</v>
      </c>
      <c r="AB292" s="28" t="str">
        <f t="shared" si="417"/>
        <v/>
      </c>
      <c r="AC292" s="20" t="str">
        <f t="shared" si="418"/>
        <v/>
      </c>
      <c r="AD292" s="20" t="str">
        <f t="shared" si="419"/>
        <v/>
      </c>
    </row>
    <row r="293" spans="1:30" ht="15" customHeight="1">
      <c r="A293" s="54"/>
      <c r="B293" s="59" t="str">
        <f t="shared" ref="B293" si="461">IF(LEN(A293)&lt;1,"",IF(ISBLANK(B287),"",B287+1))</f>
        <v/>
      </c>
      <c r="C293" s="35" t="str">
        <f t="shared" ref="C293" si="462">IF(ISBLANK(A293),"",IF(A293="Uraian Panjang","Teks Uraian","Teks Soal"))</f>
        <v/>
      </c>
      <c r="D293" s="40"/>
      <c r="E293" s="41"/>
      <c r="F293" s="52" t="str">
        <f t="shared" ref="F293" si="463">IF(ISBLANK(A293),"",IF(A293="Pilihan Ganda","Centang salah satu jawaban disamping pada kolom KUNCI",IF(A293="Jawaban Jamak","Centang beberapa jawaban disamping pada kolom KUNCI",IF(A293="Uraian Panjang","Pastikan tidak ada jawaban yang tercentang pada kolom KUNCI",IF(A293="Esai Koreksi Otomatis","Kunci jawaban adalah teks opsi dan centang opsi tersebut pada kolom KUNCI","ISIKAN JODOHNYA PADA KOLOM KUNCI")))))</f>
        <v/>
      </c>
      <c r="G293" s="56" t="str">
        <f>IF(LEN(A293)&lt;1,"",IF(AA293=FALSE,"Ada kesalahan, mohon perhatikan kolom KETERANGAN",""))</f>
        <v/>
      </c>
      <c r="H293" s="40"/>
      <c r="I293" s="40"/>
      <c r="J293" s="46"/>
      <c r="K293" s="47"/>
      <c r="M293" s="25">
        <f t="shared" si="409"/>
        <v>0</v>
      </c>
      <c r="N293" s="25" t="str">
        <f t="shared" si="428"/>
        <v/>
      </c>
      <c r="O293" s="26" t="str">
        <f t="shared" si="410"/>
        <v/>
      </c>
      <c r="P293" s="26">
        <f t="shared" si="411"/>
        <v>0</v>
      </c>
      <c r="Q293" s="20" t="s">
        <v>41</v>
      </c>
      <c r="R293" s="20">
        <f t="shared" si="403"/>
        <v>0</v>
      </c>
      <c r="S293" s="20">
        <f t="shared" si="404"/>
        <v>0</v>
      </c>
      <c r="T293" s="20">
        <f t="shared" si="412"/>
        <v>0</v>
      </c>
      <c r="U293" s="20">
        <f t="shared" si="413"/>
        <v>0</v>
      </c>
      <c r="V293" s="20" t="str">
        <f t="shared" si="405"/>
        <v/>
      </c>
      <c r="W293" s="20" t="str">
        <f t="shared" si="406"/>
        <v/>
      </c>
      <c r="X293" s="20" t="str">
        <f t="shared" si="414"/>
        <v/>
      </c>
      <c r="Y293">
        <f t="shared" si="415"/>
        <v>0</v>
      </c>
      <c r="Z293">
        <f t="shared" si="416"/>
        <v>0</v>
      </c>
      <c r="AA293" s="14" t="b">
        <f t="shared" si="407"/>
        <v>0</v>
      </c>
      <c r="AB293" s="28" t="str">
        <f t="shared" si="417"/>
        <v/>
      </c>
      <c r="AC293" s="20" t="str">
        <f t="shared" si="418"/>
        <v/>
      </c>
      <c r="AD293" s="20" t="str">
        <f t="shared" si="419"/>
        <v/>
      </c>
    </row>
    <row r="294" spans="1:30" ht="15" customHeight="1">
      <c r="A294" s="54"/>
      <c r="B294" s="60"/>
      <c r="C294" s="33" t="str">
        <f t="shared" ref="C294" si="464">IF(C293="Teks Uraian","",IF(OR(LEN(C293)&lt;1,LEN(D294)&lt;1),"","A"))</f>
        <v/>
      </c>
      <c r="D294" s="38"/>
      <c r="E294" s="44"/>
      <c r="F294" s="52"/>
      <c r="G294" s="57"/>
      <c r="H294" s="38"/>
      <c r="I294" s="38"/>
      <c r="J294" s="48"/>
      <c r="K294" s="49"/>
      <c r="M294" s="25">
        <f t="shared" si="409"/>
        <v>0</v>
      </c>
      <c r="N294" s="25" t="str">
        <f t="shared" si="428"/>
        <v/>
      </c>
      <c r="O294" s="26" t="str">
        <f t="shared" si="410"/>
        <v/>
      </c>
      <c r="P294" s="26">
        <f t="shared" si="411"/>
        <v>0</v>
      </c>
      <c r="Q294" s="20" t="s">
        <v>41</v>
      </c>
      <c r="R294" s="20">
        <f t="shared" si="403"/>
        <v>0</v>
      </c>
      <c r="S294" s="20">
        <f t="shared" si="404"/>
        <v>0</v>
      </c>
      <c r="T294" s="20">
        <f t="shared" si="412"/>
        <v>0</v>
      </c>
      <c r="U294" s="20">
        <f t="shared" si="413"/>
        <v>0</v>
      </c>
      <c r="V294" s="20" t="str">
        <f t="shared" si="405"/>
        <v/>
      </c>
      <c r="W294" s="20" t="str">
        <f t="shared" si="406"/>
        <v/>
      </c>
      <c r="X294" s="20" t="str">
        <f t="shared" si="414"/>
        <v/>
      </c>
      <c r="Y294">
        <f t="shared" si="415"/>
        <v>0</v>
      </c>
      <c r="Z294">
        <f t="shared" si="416"/>
        <v>0</v>
      </c>
      <c r="AA294" s="14" t="b">
        <f t="shared" si="407"/>
        <v>0</v>
      </c>
      <c r="AB294" s="28" t="str">
        <f t="shared" si="417"/>
        <v/>
      </c>
      <c r="AC294" s="20" t="str">
        <f t="shared" si="418"/>
        <v/>
      </c>
      <c r="AD294" s="20" t="str">
        <f t="shared" si="419"/>
        <v/>
      </c>
    </row>
    <row r="295" spans="1:30" ht="15" customHeight="1">
      <c r="A295" s="54"/>
      <c r="B295" s="60"/>
      <c r="C295" s="33" t="str">
        <f t="shared" ref="C295" si="465">IF(OR(LEN(C294)&lt;1,LEN(D294)&lt;1),"","B")</f>
        <v/>
      </c>
      <c r="D295" s="38"/>
      <c r="E295" s="44"/>
      <c r="F295" s="52"/>
      <c r="G295" s="57"/>
      <c r="H295" s="38"/>
      <c r="I295" s="38"/>
      <c r="J295" s="48"/>
      <c r="K295" s="49"/>
      <c r="M295" s="25">
        <f t="shared" si="409"/>
        <v>0</v>
      </c>
      <c r="N295" s="25" t="str">
        <f t="shared" si="428"/>
        <v/>
      </c>
      <c r="O295" s="26" t="str">
        <f t="shared" si="410"/>
        <v/>
      </c>
      <c r="P295" s="26">
        <f t="shared" si="411"/>
        <v>0</v>
      </c>
      <c r="Q295" s="20" t="s">
        <v>41</v>
      </c>
      <c r="R295" s="20">
        <f t="shared" si="403"/>
        <v>0</v>
      </c>
      <c r="S295" s="20">
        <f t="shared" si="404"/>
        <v>0</v>
      </c>
      <c r="T295" s="20">
        <f t="shared" si="412"/>
        <v>0</v>
      </c>
      <c r="U295" s="20">
        <f t="shared" si="413"/>
        <v>0</v>
      </c>
      <c r="V295" s="20" t="str">
        <f t="shared" si="405"/>
        <v/>
      </c>
      <c r="W295" s="20" t="str">
        <f t="shared" si="406"/>
        <v/>
      </c>
      <c r="X295" s="20" t="str">
        <f t="shared" si="414"/>
        <v/>
      </c>
      <c r="Y295">
        <f t="shared" si="415"/>
        <v>0</v>
      </c>
      <c r="Z295">
        <f t="shared" si="416"/>
        <v>0</v>
      </c>
      <c r="AA295" s="14" t="b">
        <f t="shared" si="407"/>
        <v>0</v>
      </c>
      <c r="AB295" s="28" t="str">
        <f t="shared" si="417"/>
        <v/>
      </c>
      <c r="AC295" s="20" t="str">
        <f t="shared" si="418"/>
        <v/>
      </c>
      <c r="AD295" s="20" t="str">
        <f t="shared" si="419"/>
        <v/>
      </c>
    </row>
    <row r="296" spans="1:30" ht="15" customHeight="1">
      <c r="A296" s="54"/>
      <c r="B296" s="60"/>
      <c r="C296" s="33" t="str">
        <f t="shared" ref="C296" si="466">IF(OR(LEN(C295)&lt;1,LEN(D296)&lt;1),"","C")</f>
        <v/>
      </c>
      <c r="D296" s="38"/>
      <c r="E296" s="42"/>
      <c r="F296" s="52"/>
      <c r="G296" s="57"/>
      <c r="H296" s="38"/>
      <c r="I296" s="38"/>
      <c r="J296" s="48"/>
      <c r="K296" s="49"/>
      <c r="M296" s="25">
        <f t="shared" si="409"/>
        <v>0</v>
      </c>
      <c r="N296" s="25" t="str">
        <f t="shared" si="428"/>
        <v/>
      </c>
      <c r="O296" s="26" t="str">
        <f t="shared" si="410"/>
        <v/>
      </c>
      <c r="P296" s="26">
        <f t="shared" si="411"/>
        <v>0</v>
      </c>
      <c r="Q296" s="20" t="s">
        <v>41</v>
      </c>
      <c r="R296" s="20">
        <f t="shared" si="403"/>
        <v>0</v>
      </c>
      <c r="S296" s="20">
        <f t="shared" si="404"/>
        <v>0</v>
      </c>
      <c r="T296" s="20">
        <f t="shared" si="412"/>
        <v>0</v>
      </c>
      <c r="U296" s="20">
        <f t="shared" si="413"/>
        <v>0</v>
      </c>
      <c r="V296" s="20" t="str">
        <f t="shared" si="405"/>
        <v/>
      </c>
      <c r="W296" s="20" t="str">
        <f t="shared" si="406"/>
        <v/>
      </c>
      <c r="X296" s="20" t="str">
        <f t="shared" si="414"/>
        <v/>
      </c>
      <c r="Y296">
        <f t="shared" si="415"/>
        <v>0</v>
      </c>
      <c r="Z296">
        <f t="shared" si="416"/>
        <v>0</v>
      </c>
      <c r="AA296" s="14" t="b">
        <f t="shared" si="407"/>
        <v>0</v>
      </c>
      <c r="AB296" s="28" t="str">
        <f t="shared" si="417"/>
        <v/>
      </c>
      <c r="AC296" s="20" t="str">
        <f t="shared" si="418"/>
        <v/>
      </c>
      <c r="AD296" s="20" t="str">
        <f t="shared" si="419"/>
        <v/>
      </c>
    </row>
    <row r="297" spans="1:30" ht="15" customHeight="1">
      <c r="A297" s="54"/>
      <c r="B297" s="60"/>
      <c r="C297" s="33" t="str">
        <f t="shared" ref="C297" si="467">IF(OR(LEN(C296)&lt;1,LEN(D297)&lt;1),"","D")</f>
        <v/>
      </c>
      <c r="D297" s="38"/>
      <c r="E297" s="44"/>
      <c r="F297" s="52"/>
      <c r="G297" s="57"/>
      <c r="H297" s="38"/>
      <c r="I297" s="38"/>
      <c r="J297" s="48"/>
      <c r="K297" s="49"/>
      <c r="M297" s="25">
        <f t="shared" si="409"/>
        <v>0</v>
      </c>
      <c r="N297" s="25" t="str">
        <f t="shared" si="428"/>
        <v/>
      </c>
      <c r="O297" s="26" t="str">
        <f t="shared" si="410"/>
        <v/>
      </c>
      <c r="P297" s="26">
        <f t="shared" si="411"/>
        <v>0</v>
      </c>
      <c r="Q297" s="20" t="s">
        <v>41</v>
      </c>
      <c r="R297" s="20">
        <f t="shared" si="403"/>
        <v>0</v>
      </c>
      <c r="S297" s="20">
        <f t="shared" si="404"/>
        <v>0</v>
      </c>
      <c r="T297" s="20">
        <f t="shared" si="412"/>
        <v>0</v>
      </c>
      <c r="U297" s="20">
        <f t="shared" si="413"/>
        <v>0</v>
      </c>
      <c r="V297" s="20" t="str">
        <f t="shared" si="405"/>
        <v/>
      </c>
      <c r="W297" s="20" t="str">
        <f t="shared" si="406"/>
        <v/>
      </c>
      <c r="X297" s="20" t="str">
        <f t="shared" si="414"/>
        <v/>
      </c>
      <c r="Y297">
        <f t="shared" si="415"/>
        <v>0</v>
      </c>
      <c r="Z297">
        <f t="shared" si="416"/>
        <v>0</v>
      </c>
      <c r="AA297" s="14" t="b">
        <f t="shared" si="407"/>
        <v>0</v>
      </c>
      <c r="AB297" s="28" t="str">
        <f t="shared" si="417"/>
        <v/>
      </c>
      <c r="AC297" s="20" t="str">
        <f t="shared" si="418"/>
        <v/>
      </c>
      <c r="AD297" s="20" t="str">
        <f t="shared" si="419"/>
        <v/>
      </c>
    </row>
    <row r="298" spans="1:30" ht="15.75" customHeight="1" thickBot="1">
      <c r="A298" s="55"/>
      <c r="B298" s="61"/>
      <c r="C298" s="36" t="str">
        <f t="shared" ref="C298" si="468">IF(OR(LEN(C297)&lt;1,LEN(D298)&lt;1),"","E")</f>
        <v/>
      </c>
      <c r="D298" s="39"/>
      <c r="E298" s="45"/>
      <c r="F298" s="53"/>
      <c r="G298" s="58"/>
      <c r="H298" s="39"/>
      <c r="I298" s="39"/>
      <c r="J298" s="39"/>
      <c r="K298" s="50"/>
      <c r="M298" s="25">
        <f t="shared" si="409"/>
        <v>0</v>
      </c>
      <c r="N298" s="25" t="str">
        <f t="shared" si="428"/>
        <v/>
      </c>
      <c r="O298" s="26" t="str">
        <f t="shared" si="410"/>
        <v/>
      </c>
      <c r="P298" s="26">
        <f t="shared" si="411"/>
        <v>0</v>
      </c>
      <c r="Q298" s="20" t="s">
        <v>41</v>
      </c>
      <c r="R298" s="20">
        <f t="shared" si="403"/>
        <v>0</v>
      </c>
      <c r="S298" s="20">
        <f t="shared" si="404"/>
        <v>0</v>
      </c>
      <c r="T298" s="20">
        <f t="shared" si="412"/>
        <v>0</v>
      </c>
      <c r="U298" s="20">
        <f t="shared" si="413"/>
        <v>0</v>
      </c>
      <c r="V298" s="20" t="str">
        <f t="shared" si="405"/>
        <v/>
      </c>
      <c r="W298" s="20" t="str">
        <f t="shared" si="406"/>
        <v/>
      </c>
      <c r="X298" s="20" t="str">
        <f t="shared" si="414"/>
        <v/>
      </c>
      <c r="Y298">
        <f t="shared" si="415"/>
        <v>0</v>
      </c>
      <c r="Z298">
        <f t="shared" si="416"/>
        <v>0</v>
      </c>
      <c r="AA298" s="14" t="b">
        <f t="shared" si="407"/>
        <v>0</v>
      </c>
      <c r="AB298" s="28" t="str">
        <f t="shared" si="417"/>
        <v/>
      </c>
      <c r="AC298" s="20" t="str">
        <f t="shared" si="418"/>
        <v/>
      </c>
      <c r="AD298" s="20" t="str">
        <f t="shared" si="419"/>
        <v/>
      </c>
    </row>
    <row r="299" spans="1:30" ht="15" customHeight="1">
      <c r="A299" s="54"/>
      <c r="B299" s="59" t="str">
        <f t="shared" ref="B299" si="469">IF(LEN(A299)&lt;1,"",IF(ISBLANK(B293),"",B293+1))</f>
        <v/>
      </c>
      <c r="C299" s="35" t="str">
        <f t="shared" ref="C299" si="470">IF(ISBLANK(A299),"",IF(A299="Uraian Panjang","Teks Uraian","Teks Soal"))</f>
        <v/>
      </c>
      <c r="D299" s="37"/>
      <c r="E299" s="41"/>
      <c r="F299" s="52" t="str">
        <f t="shared" ref="F299" si="471">IF(ISBLANK(A299),"",IF(A299="Pilihan Ganda","Centang salah satu jawaban disamping pada kolom KUNCI",IF(A299="Jawaban Jamak","Centang beberapa jawaban disamping pada kolom KUNCI",IF(A299="Uraian Panjang","Pastikan tidak ada jawaban yang tercentang pada kolom KUNCI",IF(A299="Esai Koreksi Otomatis","Kunci jawaban adalah teks opsi dan centang opsi tersebut pada kolom KUNCI","ISIKAN JODOHNYA PADA KOLOM KUNCI")))))</f>
        <v/>
      </c>
      <c r="G299" s="56" t="str">
        <f>IF(LEN(A299)&lt;1,"",IF(AA299=FALSE,"Ada kesalahan, mohon perhatikan kolom KETERANGAN",""))</f>
        <v/>
      </c>
      <c r="H299" s="37"/>
      <c r="I299" s="37"/>
      <c r="J299" s="46"/>
      <c r="K299" s="47"/>
      <c r="M299" s="25">
        <f t="shared" si="409"/>
        <v>0</v>
      </c>
      <c r="N299" s="25" t="str">
        <f t="shared" si="428"/>
        <v/>
      </c>
      <c r="O299" s="26" t="str">
        <f t="shared" si="410"/>
        <v/>
      </c>
      <c r="P299" s="26">
        <f t="shared" si="411"/>
        <v>0</v>
      </c>
      <c r="Q299" s="20" t="s">
        <v>41</v>
      </c>
      <c r="R299" s="20">
        <f t="shared" si="403"/>
        <v>0</v>
      </c>
      <c r="S299" s="20">
        <f t="shared" si="404"/>
        <v>0</v>
      </c>
      <c r="T299" s="20">
        <f t="shared" si="412"/>
        <v>0</v>
      </c>
      <c r="U299" s="20">
        <f t="shared" si="413"/>
        <v>0</v>
      </c>
      <c r="V299" s="20" t="str">
        <f t="shared" si="405"/>
        <v/>
      </c>
      <c r="W299" s="20" t="str">
        <f t="shared" si="406"/>
        <v/>
      </c>
      <c r="X299" s="20" t="str">
        <f t="shared" si="414"/>
        <v/>
      </c>
      <c r="Y299">
        <f t="shared" si="415"/>
        <v>0</v>
      </c>
      <c r="Z299">
        <f t="shared" si="416"/>
        <v>0</v>
      </c>
      <c r="AA299" s="14" t="b">
        <f t="shared" si="407"/>
        <v>0</v>
      </c>
      <c r="AB299" s="28" t="str">
        <f t="shared" si="417"/>
        <v/>
      </c>
      <c r="AC299" s="20" t="str">
        <f t="shared" si="418"/>
        <v/>
      </c>
      <c r="AD299" s="20" t="str">
        <f t="shared" si="419"/>
        <v/>
      </c>
    </row>
    <row r="300" spans="1:30" ht="15" customHeight="1">
      <c r="A300" s="54"/>
      <c r="B300" s="60"/>
      <c r="C300" s="33" t="str">
        <f t="shared" ref="C300" si="472">IF(C299="Teks Uraian","",IF(OR(LEN(C299)&lt;1,LEN(D300)&lt;1),"","A"))</f>
        <v/>
      </c>
      <c r="D300" s="38"/>
      <c r="E300" s="44"/>
      <c r="F300" s="52"/>
      <c r="G300" s="57"/>
      <c r="H300" s="38"/>
      <c r="I300" s="38"/>
      <c r="J300" s="48"/>
      <c r="K300" s="49"/>
      <c r="M300" s="25">
        <f t="shared" si="409"/>
        <v>0</v>
      </c>
      <c r="N300" s="25" t="str">
        <f t="shared" si="428"/>
        <v/>
      </c>
      <c r="O300" s="26" t="str">
        <f t="shared" si="410"/>
        <v/>
      </c>
      <c r="P300" s="26">
        <f t="shared" si="411"/>
        <v>0</v>
      </c>
      <c r="Q300" s="20" t="s">
        <v>41</v>
      </c>
      <c r="R300" s="20">
        <f t="shared" si="403"/>
        <v>0</v>
      </c>
      <c r="S300" s="20">
        <f t="shared" si="404"/>
        <v>0</v>
      </c>
      <c r="T300" s="20">
        <f t="shared" si="412"/>
        <v>0</v>
      </c>
      <c r="U300" s="20">
        <f t="shared" si="413"/>
        <v>0</v>
      </c>
      <c r="V300" s="20" t="str">
        <f t="shared" si="405"/>
        <v/>
      </c>
      <c r="W300" s="20" t="str">
        <f t="shared" si="406"/>
        <v/>
      </c>
      <c r="X300" s="20" t="str">
        <f t="shared" si="414"/>
        <v/>
      </c>
      <c r="Y300">
        <f t="shared" si="415"/>
        <v>0</v>
      </c>
      <c r="Z300">
        <f t="shared" si="416"/>
        <v>0</v>
      </c>
      <c r="AA300" s="14" t="b">
        <f t="shared" si="407"/>
        <v>0</v>
      </c>
      <c r="AB300" s="28" t="str">
        <f t="shared" si="417"/>
        <v/>
      </c>
      <c r="AC300" s="20" t="str">
        <f t="shared" si="418"/>
        <v/>
      </c>
      <c r="AD300" s="20" t="str">
        <f t="shared" si="419"/>
        <v/>
      </c>
    </row>
    <row r="301" spans="1:30" ht="15" customHeight="1">
      <c r="A301" s="54"/>
      <c r="B301" s="60"/>
      <c r="C301" s="33" t="str">
        <f t="shared" ref="C301" si="473">IF(OR(LEN(C300)&lt;1,LEN(D300)&lt;1),"","B")</f>
        <v/>
      </c>
      <c r="D301" s="38"/>
      <c r="E301" s="44"/>
      <c r="F301" s="52"/>
      <c r="G301" s="57"/>
      <c r="H301" s="38"/>
      <c r="I301" s="38"/>
      <c r="J301" s="48"/>
      <c r="K301" s="49"/>
      <c r="M301" s="25">
        <f t="shared" si="409"/>
        <v>0</v>
      </c>
      <c r="N301" s="25" t="str">
        <f t="shared" si="428"/>
        <v/>
      </c>
      <c r="O301" s="26" t="str">
        <f t="shared" si="410"/>
        <v/>
      </c>
      <c r="P301" s="26">
        <f t="shared" si="411"/>
        <v>0</v>
      </c>
      <c r="Q301" s="20" t="s">
        <v>41</v>
      </c>
      <c r="R301" s="20">
        <f t="shared" si="403"/>
        <v>0</v>
      </c>
      <c r="S301" s="20">
        <f t="shared" si="404"/>
        <v>0</v>
      </c>
      <c r="T301" s="20">
        <f t="shared" si="412"/>
        <v>0</v>
      </c>
      <c r="U301" s="20">
        <f t="shared" si="413"/>
        <v>0</v>
      </c>
      <c r="V301" s="20" t="str">
        <f t="shared" si="405"/>
        <v/>
      </c>
      <c r="W301" s="20" t="str">
        <f t="shared" si="406"/>
        <v/>
      </c>
      <c r="X301" s="20" t="str">
        <f t="shared" si="414"/>
        <v/>
      </c>
      <c r="Y301">
        <f t="shared" si="415"/>
        <v>0</v>
      </c>
      <c r="Z301">
        <f t="shared" si="416"/>
        <v>0</v>
      </c>
      <c r="AA301" s="14" t="b">
        <f t="shared" si="407"/>
        <v>0</v>
      </c>
      <c r="AB301" s="28" t="str">
        <f t="shared" si="417"/>
        <v/>
      </c>
      <c r="AC301" s="20" t="str">
        <f t="shared" si="418"/>
        <v/>
      </c>
      <c r="AD301" s="20" t="str">
        <f t="shared" si="419"/>
        <v/>
      </c>
    </row>
    <row r="302" spans="1:30" ht="15" customHeight="1">
      <c r="A302" s="54"/>
      <c r="B302" s="60"/>
      <c r="C302" s="33" t="str">
        <f t="shared" ref="C302" si="474">IF(OR(LEN(C301)&lt;1,LEN(D302)&lt;1),"","C")</f>
        <v/>
      </c>
      <c r="D302" s="38"/>
      <c r="E302" s="42"/>
      <c r="F302" s="52"/>
      <c r="G302" s="57"/>
      <c r="H302" s="38"/>
      <c r="I302" s="38"/>
      <c r="J302" s="48"/>
      <c r="K302" s="49"/>
      <c r="M302" s="25">
        <f t="shared" si="409"/>
        <v>0</v>
      </c>
      <c r="N302" s="25" t="str">
        <f t="shared" si="428"/>
        <v/>
      </c>
      <c r="O302" s="26" t="str">
        <f t="shared" si="410"/>
        <v/>
      </c>
      <c r="P302" s="26">
        <f t="shared" si="411"/>
        <v>0</v>
      </c>
      <c r="Q302" s="20" t="s">
        <v>41</v>
      </c>
      <c r="R302" s="20">
        <f t="shared" si="403"/>
        <v>0</v>
      </c>
      <c r="S302" s="20">
        <f t="shared" si="404"/>
        <v>0</v>
      </c>
      <c r="T302" s="20">
        <f t="shared" si="412"/>
        <v>0</v>
      </c>
      <c r="U302" s="20">
        <f t="shared" si="413"/>
        <v>0</v>
      </c>
      <c r="V302" s="20" t="str">
        <f t="shared" si="405"/>
        <v/>
      </c>
      <c r="W302" s="20" t="str">
        <f t="shared" si="406"/>
        <v/>
      </c>
      <c r="X302" s="20" t="str">
        <f t="shared" si="414"/>
        <v/>
      </c>
      <c r="Y302">
        <f t="shared" si="415"/>
        <v>0</v>
      </c>
      <c r="Z302">
        <f t="shared" si="416"/>
        <v>0</v>
      </c>
      <c r="AA302" s="14" t="b">
        <f t="shared" si="407"/>
        <v>0</v>
      </c>
      <c r="AB302" s="28" t="str">
        <f t="shared" si="417"/>
        <v/>
      </c>
      <c r="AC302" s="20" t="str">
        <f t="shared" si="418"/>
        <v/>
      </c>
      <c r="AD302" s="20" t="str">
        <f t="shared" si="419"/>
        <v/>
      </c>
    </row>
    <row r="303" spans="1:30" ht="15" customHeight="1">
      <c r="A303" s="54"/>
      <c r="B303" s="60"/>
      <c r="C303" s="33" t="str">
        <f t="shared" ref="C303" si="475">IF(OR(LEN(C302)&lt;1,LEN(D303)&lt;1),"","D")</f>
        <v/>
      </c>
      <c r="D303" s="38"/>
      <c r="E303" s="44"/>
      <c r="F303" s="52"/>
      <c r="G303" s="57"/>
      <c r="H303" s="38"/>
      <c r="I303" s="38"/>
      <c r="J303" s="48"/>
      <c r="K303" s="49"/>
      <c r="M303" s="25">
        <f t="shared" si="409"/>
        <v>0</v>
      </c>
      <c r="N303" s="25" t="str">
        <f t="shared" si="428"/>
        <v/>
      </c>
      <c r="O303" s="26" t="str">
        <f t="shared" si="410"/>
        <v/>
      </c>
      <c r="P303" s="26">
        <f t="shared" si="411"/>
        <v>0</v>
      </c>
      <c r="Q303" s="20" t="s">
        <v>41</v>
      </c>
      <c r="R303" s="20">
        <f t="shared" si="403"/>
        <v>0</v>
      </c>
      <c r="S303" s="20">
        <f t="shared" si="404"/>
        <v>0</v>
      </c>
      <c r="T303" s="20">
        <f t="shared" si="412"/>
        <v>0</v>
      </c>
      <c r="U303" s="20">
        <f t="shared" si="413"/>
        <v>0</v>
      </c>
      <c r="V303" s="20" t="str">
        <f t="shared" si="405"/>
        <v/>
      </c>
      <c r="W303" s="20" t="str">
        <f t="shared" si="406"/>
        <v/>
      </c>
      <c r="X303" s="20" t="str">
        <f t="shared" si="414"/>
        <v/>
      </c>
      <c r="Y303">
        <f t="shared" si="415"/>
        <v>0</v>
      </c>
      <c r="Z303">
        <f t="shared" si="416"/>
        <v>0</v>
      </c>
      <c r="AA303" s="14" t="b">
        <f t="shared" si="407"/>
        <v>0</v>
      </c>
      <c r="AB303" s="28" t="str">
        <f t="shared" si="417"/>
        <v/>
      </c>
      <c r="AC303" s="20" t="str">
        <f t="shared" si="418"/>
        <v/>
      </c>
      <c r="AD303" s="20" t="str">
        <f t="shared" si="419"/>
        <v/>
      </c>
    </row>
    <row r="304" spans="1:30" ht="15.75" customHeight="1" thickBot="1">
      <c r="A304" s="55"/>
      <c r="B304" s="61"/>
      <c r="C304" s="36" t="str">
        <f t="shared" ref="C304" si="476">IF(OR(LEN(C303)&lt;1,LEN(D304)&lt;1),"","E")</f>
        <v/>
      </c>
      <c r="D304" s="39"/>
      <c r="E304" s="45"/>
      <c r="F304" s="53"/>
      <c r="G304" s="58"/>
      <c r="H304" s="39"/>
      <c r="I304" s="39"/>
      <c r="J304" s="51"/>
      <c r="K304" s="50"/>
      <c r="M304" s="25">
        <f t="shared" si="409"/>
        <v>0</v>
      </c>
      <c r="N304" s="25" t="str">
        <f t="shared" si="428"/>
        <v/>
      </c>
      <c r="O304" s="26" t="str">
        <f t="shared" si="410"/>
        <v/>
      </c>
      <c r="P304" s="26">
        <f t="shared" si="411"/>
        <v>0</v>
      </c>
      <c r="Q304" s="20" t="s">
        <v>41</v>
      </c>
      <c r="R304" s="20">
        <f t="shared" si="403"/>
        <v>0</v>
      </c>
      <c r="S304" s="20">
        <f t="shared" si="404"/>
        <v>0</v>
      </c>
      <c r="T304" s="20">
        <f t="shared" si="412"/>
        <v>0</v>
      </c>
      <c r="U304" s="20">
        <f t="shared" si="413"/>
        <v>0</v>
      </c>
      <c r="V304" s="20" t="str">
        <f t="shared" si="405"/>
        <v/>
      </c>
      <c r="W304" s="20" t="str">
        <f t="shared" si="406"/>
        <v/>
      </c>
      <c r="X304" s="20" t="str">
        <f t="shared" si="414"/>
        <v/>
      </c>
      <c r="Y304">
        <f t="shared" si="415"/>
        <v>0</v>
      </c>
      <c r="Z304">
        <f t="shared" si="416"/>
        <v>0</v>
      </c>
      <c r="AA304" s="14" t="b">
        <f t="shared" si="407"/>
        <v>0</v>
      </c>
      <c r="AB304" s="28" t="str">
        <f t="shared" si="417"/>
        <v/>
      </c>
      <c r="AC304" s="20" t="str">
        <f t="shared" si="418"/>
        <v/>
      </c>
      <c r="AD304" s="20" t="str">
        <f t="shared" si="419"/>
        <v/>
      </c>
    </row>
    <row r="305" spans="5:5" ht="15" customHeight="1">
      <c r="E305" s="6"/>
    </row>
    <row r="306" spans="5:5" ht="15" customHeight="1">
      <c r="E306" s="6"/>
    </row>
    <row r="307" spans="5:5" ht="15" customHeight="1">
      <c r="E307" s="6"/>
    </row>
    <row r="308" spans="5:5" ht="15" customHeight="1">
      <c r="E308" s="6"/>
    </row>
    <row r="309" spans="5:5" ht="15" customHeight="1">
      <c r="E309" s="6"/>
    </row>
    <row r="310" spans="5:5" ht="15" customHeight="1">
      <c r="E310" s="6"/>
    </row>
    <row r="311" spans="5:5" ht="15" customHeight="1">
      <c r="E311" s="6"/>
    </row>
    <row r="312" spans="5:5" ht="15" customHeight="1">
      <c r="E312" s="6"/>
    </row>
    <row r="313" spans="5:5" ht="15" customHeight="1">
      <c r="E313" s="6"/>
    </row>
    <row r="314" spans="5:5" ht="15" customHeight="1">
      <c r="E314" s="6"/>
    </row>
    <row r="315" spans="5:5" ht="15" customHeight="1">
      <c r="E315" s="6"/>
    </row>
    <row r="316" spans="5:5" ht="15" customHeight="1">
      <c r="E316" s="6"/>
    </row>
    <row r="317" spans="5:5" ht="15" customHeight="1">
      <c r="E317" s="6"/>
    </row>
    <row r="318" spans="5:5" ht="15" customHeight="1">
      <c r="E318" s="6"/>
    </row>
    <row r="319" spans="5:5" ht="15" customHeight="1">
      <c r="E319" s="6"/>
    </row>
    <row r="320" spans="5:5" ht="15" customHeight="1">
      <c r="E320" s="6"/>
    </row>
    <row r="321" spans="5:5" ht="15" customHeight="1">
      <c r="E321" s="6"/>
    </row>
    <row r="322" spans="5:5" ht="15" customHeight="1">
      <c r="E322" s="6"/>
    </row>
    <row r="323" spans="5:5" ht="15" customHeight="1">
      <c r="E323" s="6"/>
    </row>
    <row r="324" spans="5:5" ht="15" customHeight="1">
      <c r="E324" s="6"/>
    </row>
    <row r="325" spans="5:5" ht="15" customHeight="1">
      <c r="E325" s="6"/>
    </row>
    <row r="326" spans="5:5" ht="15" customHeight="1">
      <c r="E326" s="6"/>
    </row>
    <row r="327" spans="5:5" ht="15" customHeight="1">
      <c r="E327" s="6"/>
    </row>
    <row r="328" spans="5:5" ht="15" customHeight="1">
      <c r="E328" s="6"/>
    </row>
    <row r="329" spans="5:5" ht="15" customHeight="1">
      <c r="E329" s="6"/>
    </row>
    <row r="330" spans="5:5" ht="15" customHeight="1">
      <c r="E330" s="6"/>
    </row>
    <row r="331" spans="5:5" ht="15" customHeight="1">
      <c r="E331" s="6"/>
    </row>
    <row r="332" spans="5:5" ht="15" customHeight="1">
      <c r="E332" s="6"/>
    </row>
    <row r="333" spans="5:5" ht="15" customHeight="1">
      <c r="E333" s="6"/>
    </row>
    <row r="334" spans="5:5" ht="15" customHeight="1">
      <c r="E334" s="6"/>
    </row>
    <row r="335" spans="5:5" ht="15" customHeight="1">
      <c r="E335" s="6"/>
    </row>
    <row r="336" spans="5:5" ht="15" customHeight="1">
      <c r="E336" s="6"/>
    </row>
    <row r="337" spans="5:5" ht="15" customHeight="1">
      <c r="E337" s="6"/>
    </row>
    <row r="338" spans="5:5" ht="15" customHeight="1">
      <c r="E338" s="6"/>
    </row>
    <row r="339" spans="5:5" ht="15" customHeight="1">
      <c r="E339" s="6"/>
    </row>
    <row r="340" spans="5:5" ht="15" customHeight="1">
      <c r="E340" s="6"/>
    </row>
    <row r="341" spans="5:5" ht="15" customHeight="1">
      <c r="E341" s="6"/>
    </row>
    <row r="342" spans="5:5" ht="15" customHeight="1">
      <c r="E342" s="6"/>
    </row>
    <row r="343" spans="5:5" ht="15" customHeight="1">
      <c r="E343" s="6"/>
    </row>
    <row r="344" spans="5:5" ht="15" customHeight="1">
      <c r="E344" s="6"/>
    </row>
    <row r="345" spans="5:5" ht="15" customHeight="1">
      <c r="E345" s="6"/>
    </row>
    <row r="346" spans="5:5" ht="15" customHeight="1">
      <c r="E346" s="6"/>
    </row>
    <row r="347" spans="5:5" ht="15" customHeight="1">
      <c r="E347" s="6"/>
    </row>
    <row r="348" spans="5:5" ht="15" customHeight="1">
      <c r="E348" s="6"/>
    </row>
    <row r="349" spans="5:5" ht="15" customHeight="1">
      <c r="E349" s="6"/>
    </row>
    <row r="350" spans="5:5" ht="15" customHeight="1">
      <c r="E350" s="6"/>
    </row>
    <row r="351" spans="5:5" ht="15" customHeight="1">
      <c r="E351" s="6"/>
    </row>
    <row r="352" spans="5:5" ht="15" customHeight="1">
      <c r="E352" s="6"/>
    </row>
    <row r="353" spans="5:5" ht="15" customHeight="1">
      <c r="E353" s="6"/>
    </row>
    <row r="354" spans="5:5" ht="15" customHeight="1">
      <c r="E354" s="6"/>
    </row>
    <row r="355" spans="5:5" ht="15" customHeight="1">
      <c r="E355" s="6"/>
    </row>
    <row r="356" spans="5:5" ht="15" customHeight="1">
      <c r="E356" s="6"/>
    </row>
    <row r="357" spans="5:5" ht="15" customHeight="1">
      <c r="E357" s="6"/>
    </row>
    <row r="358" spans="5:5" ht="15" customHeight="1">
      <c r="E358" s="6"/>
    </row>
    <row r="359" spans="5:5" ht="15" customHeight="1">
      <c r="E359" s="6"/>
    </row>
    <row r="360" spans="5:5" ht="15" customHeight="1">
      <c r="E360" s="6"/>
    </row>
    <row r="361" spans="5:5" ht="15" customHeight="1">
      <c r="E361" s="6"/>
    </row>
    <row r="362" spans="5:5" ht="15" customHeight="1">
      <c r="E362" s="6"/>
    </row>
    <row r="363" spans="5:5" ht="15" customHeight="1">
      <c r="E363" s="6"/>
    </row>
    <row r="364" spans="5:5" ht="15" customHeight="1">
      <c r="E364" s="6"/>
    </row>
    <row r="365" spans="5:5" ht="15" customHeight="1">
      <c r="E365" s="6"/>
    </row>
    <row r="366" spans="5:5" ht="15" customHeight="1">
      <c r="E366" s="6"/>
    </row>
    <row r="367" spans="5:5" ht="15" customHeight="1">
      <c r="E367" s="6"/>
    </row>
    <row r="368" spans="5:5" ht="15" customHeight="1">
      <c r="E368" s="6"/>
    </row>
    <row r="369" spans="5:5" ht="15" customHeight="1">
      <c r="E369" s="6"/>
    </row>
    <row r="370" spans="5:5" ht="15" customHeight="1">
      <c r="E370" s="6"/>
    </row>
    <row r="371" spans="5:5" ht="15" customHeight="1">
      <c r="E371" s="6"/>
    </row>
    <row r="372" spans="5:5" ht="15" customHeight="1">
      <c r="E372" s="6"/>
    </row>
    <row r="373" spans="5:5" ht="15" customHeight="1">
      <c r="E373" s="6"/>
    </row>
    <row r="374" spans="5:5" ht="15" customHeight="1">
      <c r="E374" s="6"/>
    </row>
    <row r="375" spans="5:5" ht="15" customHeight="1">
      <c r="E375" s="6"/>
    </row>
    <row r="376" spans="5:5" ht="15" customHeight="1">
      <c r="E376" s="6"/>
    </row>
    <row r="377" spans="5:5" ht="15" customHeight="1">
      <c r="E377" s="6"/>
    </row>
    <row r="378" spans="5:5" ht="15" customHeight="1">
      <c r="E378" s="6"/>
    </row>
    <row r="379" spans="5:5" ht="15" customHeight="1">
      <c r="E379" s="6"/>
    </row>
    <row r="380" spans="5:5" ht="15" customHeight="1">
      <c r="E380" s="6"/>
    </row>
    <row r="381" spans="5:5" ht="15" customHeight="1">
      <c r="E381" s="6"/>
    </row>
    <row r="382" spans="5:5" ht="15" customHeight="1">
      <c r="E382" s="6"/>
    </row>
    <row r="383" spans="5:5" ht="15" customHeight="1">
      <c r="E383" s="6"/>
    </row>
    <row r="384" spans="5:5" ht="15" customHeight="1">
      <c r="E384" s="6"/>
    </row>
    <row r="385" spans="5:5" ht="15" customHeight="1">
      <c r="E385" s="6"/>
    </row>
    <row r="386" spans="5:5" ht="15" customHeight="1">
      <c r="E386" s="6"/>
    </row>
    <row r="387" spans="5:5" ht="15" customHeight="1">
      <c r="E387" s="6"/>
    </row>
    <row r="388" spans="5:5" ht="15" customHeight="1">
      <c r="E388" s="6"/>
    </row>
    <row r="389" spans="5:5" ht="15" customHeight="1">
      <c r="E389" s="6"/>
    </row>
    <row r="390" spans="5:5" ht="15" customHeight="1">
      <c r="E390" s="6"/>
    </row>
    <row r="391" spans="5:5" ht="15" customHeight="1">
      <c r="E391" s="6"/>
    </row>
    <row r="392" spans="5:5" ht="15" customHeight="1">
      <c r="E392" s="6"/>
    </row>
    <row r="393" spans="5:5" ht="15" customHeight="1">
      <c r="E393" s="6"/>
    </row>
    <row r="394" spans="5:5" ht="15" customHeight="1">
      <c r="E394" s="6"/>
    </row>
    <row r="395" spans="5:5" ht="15" customHeight="1">
      <c r="E395" s="6"/>
    </row>
    <row r="396" spans="5:5" ht="15" customHeight="1">
      <c r="E396" s="6"/>
    </row>
    <row r="397" spans="5:5" ht="15" customHeight="1">
      <c r="E397" s="6"/>
    </row>
    <row r="398" spans="5:5" ht="15" customHeight="1">
      <c r="E398" s="6"/>
    </row>
    <row r="399" spans="5:5" ht="15" customHeight="1">
      <c r="E399" s="6"/>
    </row>
    <row r="400" spans="5:5" ht="15" customHeight="1">
      <c r="E400" s="6"/>
    </row>
    <row r="401" spans="5:5" ht="15" customHeight="1">
      <c r="E401" s="6"/>
    </row>
    <row r="402" spans="5:5" ht="15" customHeight="1">
      <c r="E402" s="6"/>
    </row>
    <row r="403" spans="5:5" ht="15" customHeight="1">
      <c r="E403" s="6"/>
    </row>
    <row r="404" spans="5:5" ht="15" customHeight="1">
      <c r="E404" s="6"/>
    </row>
    <row r="405" spans="5:5" ht="15" customHeight="1">
      <c r="E405" s="6"/>
    </row>
    <row r="406" spans="5:5" ht="15" customHeight="1">
      <c r="E406" s="6"/>
    </row>
    <row r="407" spans="5:5" ht="15" customHeight="1">
      <c r="E407" s="6"/>
    </row>
    <row r="408" spans="5:5" ht="15" customHeight="1">
      <c r="E408" s="6"/>
    </row>
    <row r="409" spans="5:5" ht="15" customHeight="1">
      <c r="E409" s="6"/>
    </row>
    <row r="410" spans="5:5" ht="15" customHeight="1">
      <c r="E410" s="6"/>
    </row>
    <row r="411" spans="5:5" ht="15" customHeight="1">
      <c r="E411" s="6"/>
    </row>
    <row r="412" spans="5:5" ht="15" customHeight="1">
      <c r="E412" s="6"/>
    </row>
    <row r="413" spans="5:5" ht="15" customHeight="1">
      <c r="E413" s="6"/>
    </row>
    <row r="414" spans="5:5" ht="15" customHeight="1">
      <c r="E414" s="6"/>
    </row>
    <row r="415" spans="5:5" ht="15" customHeight="1">
      <c r="E415" s="6"/>
    </row>
    <row r="416" spans="5:5" ht="15" customHeight="1">
      <c r="E416" s="6"/>
    </row>
    <row r="417" spans="5:5" ht="15" customHeight="1">
      <c r="E417" s="6"/>
    </row>
    <row r="418" spans="5:5" ht="15" customHeight="1">
      <c r="E418" s="6"/>
    </row>
    <row r="419" spans="5:5" ht="15" customHeight="1">
      <c r="E419" s="6"/>
    </row>
    <row r="420" spans="5:5" ht="15" customHeight="1">
      <c r="E420" s="6"/>
    </row>
    <row r="421" spans="5:5" ht="15" customHeight="1">
      <c r="E421" s="6"/>
    </row>
    <row r="422" spans="5:5" ht="15" customHeight="1">
      <c r="E422" s="6"/>
    </row>
    <row r="423" spans="5:5" ht="15" customHeight="1">
      <c r="E423" s="6"/>
    </row>
    <row r="424" spans="5:5" ht="15" customHeight="1">
      <c r="E424" s="6"/>
    </row>
    <row r="425" spans="5:5" ht="15" customHeight="1">
      <c r="E425" s="6"/>
    </row>
    <row r="426" spans="5:5" ht="15" customHeight="1">
      <c r="E426" s="6"/>
    </row>
    <row r="427" spans="5:5" ht="15" customHeight="1">
      <c r="E427" s="6"/>
    </row>
    <row r="428" spans="5:5" ht="15" customHeight="1">
      <c r="E428" s="6"/>
    </row>
    <row r="429" spans="5:5" ht="15" customHeight="1">
      <c r="E429" s="6"/>
    </row>
    <row r="430" spans="5:5" ht="15" customHeight="1">
      <c r="E430" s="6"/>
    </row>
  </sheetData>
  <sheetProtection password="D965" sheet="1" objects="1" scenarios="1" formatColumns="0" formatRows="0"/>
  <mergeCells count="205">
    <mergeCell ref="B11:B16"/>
    <mergeCell ref="B17:B22"/>
    <mergeCell ref="B23:B28"/>
    <mergeCell ref="B29:B34"/>
    <mergeCell ref="B35:B40"/>
    <mergeCell ref="A1:B1"/>
    <mergeCell ref="A2:B2"/>
    <mergeCell ref="C1:I1"/>
    <mergeCell ref="C2:I2"/>
    <mergeCell ref="B5:B10"/>
    <mergeCell ref="C4:D4"/>
    <mergeCell ref="A11:A16"/>
    <mergeCell ref="A17:A22"/>
    <mergeCell ref="A23:A28"/>
    <mergeCell ref="A29:A34"/>
    <mergeCell ref="A35:A40"/>
    <mergeCell ref="B71:B76"/>
    <mergeCell ref="B77:B82"/>
    <mergeCell ref="B83:B88"/>
    <mergeCell ref="B89:B94"/>
    <mergeCell ref="B95:B100"/>
    <mergeCell ref="B41:B46"/>
    <mergeCell ref="B47:B52"/>
    <mergeCell ref="B53:B58"/>
    <mergeCell ref="B59:B64"/>
    <mergeCell ref="B65:B70"/>
    <mergeCell ref="B203:B208"/>
    <mergeCell ref="B209:B214"/>
    <mergeCell ref="B215:B220"/>
    <mergeCell ref="B161:B166"/>
    <mergeCell ref="B167:B172"/>
    <mergeCell ref="B173:B178"/>
    <mergeCell ref="B179:B184"/>
    <mergeCell ref="B185:B190"/>
    <mergeCell ref="B131:B136"/>
    <mergeCell ref="B137:B142"/>
    <mergeCell ref="A41:A46"/>
    <mergeCell ref="A47:A52"/>
    <mergeCell ref="A53:A58"/>
    <mergeCell ref="A59:A64"/>
    <mergeCell ref="A77:A82"/>
    <mergeCell ref="A83:A88"/>
    <mergeCell ref="A89:A94"/>
    <mergeCell ref="A95:A100"/>
    <mergeCell ref="A101:A106"/>
    <mergeCell ref="A65:A70"/>
    <mergeCell ref="A71:A76"/>
    <mergeCell ref="B281:B286"/>
    <mergeCell ref="B287:B292"/>
    <mergeCell ref="B293:B298"/>
    <mergeCell ref="B299:B304"/>
    <mergeCell ref="B143:B148"/>
    <mergeCell ref="B149:B154"/>
    <mergeCell ref="B155:B160"/>
    <mergeCell ref="B101:B106"/>
    <mergeCell ref="B107:B112"/>
    <mergeCell ref="B113:B118"/>
    <mergeCell ref="B119:B124"/>
    <mergeCell ref="B125:B130"/>
    <mergeCell ref="B251:B256"/>
    <mergeCell ref="B257:B262"/>
    <mergeCell ref="B263:B268"/>
    <mergeCell ref="B269:B274"/>
    <mergeCell ref="B275:B280"/>
    <mergeCell ref="B221:B226"/>
    <mergeCell ref="B227:B232"/>
    <mergeCell ref="B233:B238"/>
    <mergeCell ref="B239:B244"/>
    <mergeCell ref="B245:B250"/>
    <mergeCell ref="B191:B196"/>
    <mergeCell ref="B197:B202"/>
    <mergeCell ref="A137:A142"/>
    <mergeCell ref="A143:A148"/>
    <mergeCell ref="A149:A154"/>
    <mergeCell ref="A155:A160"/>
    <mergeCell ref="A161:A166"/>
    <mergeCell ref="A107:A112"/>
    <mergeCell ref="A113:A118"/>
    <mergeCell ref="A119:A124"/>
    <mergeCell ref="A125:A130"/>
    <mergeCell ref="A131:A136"/>
    <mergeCell ref="A197:A202"/>
    <mergeCell ref="A203:A208"/>
    <mergeCell ref="A209:A214"/>
    <mergeCell ref="A215:A220"/>
    <mergeCell ref="A221:A226"/>
    <mergeCell ref="A167:A172"/>
    <mergeCell ref="A173:A178"/>
    <mergeCell ref="A179:A184"/>
    <mergeCell ref="A185:A190"/>
    <mergeCell ref="A191:A196"/>
    <mergeCell ref="A287:A292"/>
    <mergeCell ref="A293:A298"/>
    <mergeCell ref="A299:A304"/>
    <mergeCell ref="A257:A262"/>
    <mergeCell ref="A263:A268"/>
    <mergeCell ref="A269:A274"/>
    <mergeCell ref="A275:A280"/>
    <mergeCell ref="A281:A286"/>
    <mergeCell ref="A227:A232"/>
    <mergeCell ref="A233:A238"/>
    <mergeCell ref="A239:A244"/>
    <mergeCell ref="A245:A250"/>
    <mergeCell ref="A251:A256"/>
    <mergeCell ref="G89:G94"/>
    <mergeCell ref="G95:G100"/>
    <mergeCell ref="G101:G106"/>
    <mergeCell ref="G107:G112"/>
    <mergeCell ref="G113:G118"/>
    <mergeCell ref="G5:G10"/>
    <mergeCell ref="G11:G16"/>
    <mergeCell ref="G17:G22"/>
    <mergeCell ref="G23:G28"/>
    <mergeCell ref="G29:G34"/>
    <mergeCell ref="G35:G40"/>
    <mergeCell ref="G41:G46"/>
    <mergeCell ref="G47:G52"/>
    <mergeCell ref="G53:G58"/>
    <mergeCell ref="G59:G64"/>
    <mergeCell ref="G65:G70"/>
    <mergeCell ref="G71:G76"/>
    <mergeCell ref="G77:G82"/>
    <mergeCell ref="G83:G88"/>
    <mergeCell ref="G149:G154"/>
    <mergeCell ref="G155:G160"/>
    <mergeCell ref="G161:G166"/>
    <mergeCell ref="G167:G172"/>
    <mergeCell ref="G173:G178"/>
    <mergeCell ref="G119:G124"/>
    <mergeCell ref="G125:G130"/>
    <mergeCell ref="G131:G136"/>
    <mergeCell ref="G137:G142"/>
    <mergeCell ref="G143:G148"/>
    <mergeCell ref="G209:G214"/>
    <mergeCell ref="G215:G220"/>
    <mergeCell ref="G221:G226"/>
    <mergeCell ref="G227:G232"/>
    <mergeCell ref="G233:G238"/>
    <mergeCell ref="G179:G184"/>
    <mergeCell ref="G185:G190"/>
    <mergeCell ref="G191:G196"/>
    <mergeCell ref="G197:G202"/>
    <mergeCell ref="G203:G208"/>
    <mergeCell ref="G299:G304"/>
    <mergeCell ref="G269:G274"/>
    <mergeCell ref="G275:G280"/>
    <mergeCell ref="G281:G286"/>
    <mergeCell ref="G287:G292"/>
    <mergeCell ref="G293:G298"/>
    <mergeCell ref="G239:G244"/>
    <mergeCell ref="G245:G250"/>
    <mergeCell ref="G251:G256"/>
    <mergeCell ref="G257:G262"/>
    <mergeCell ref="G263:G268"/>
    <mergeCell ref="F83:F88"/>
    <mergeCell ref="F89:F94"/>
    <mergeCell ref="F95:F100"/>
    <mergeCell ref="F101:F106"/>
    <mergeCell ref="F107:F112"/>
    <mergeCell ref="F5:F10"/>
    <mergeCell ref="F11:F16"/>
    <mergeCell ref="F17:F22"/>
    <mergeCell ref="F23:F28"/>
    <mergeCell ref="F29:F34"/>
    <mergeCell ref="F35:F40"/>
    <mergeCell ref="F41:F46"/>
    <mergeCell ref="F47:F52"/>
    <mergeCell ref="F53:F58"/>
    <mergeCell ref="F59:F64"/>
    <mergeCell ref="F65:F70"/>
    <mergeCell ref="F71:F76"/>
    <mergeCell ref="F77:F82"/>
    <mergeCell ref="F149:F154"/>
    <mergeCell ref="F155:F160"/>
    <mergeCell ref="F161:F166"/>
    <mergeCell ref="F167:F172"/>
    <mergeCell ref="F113:F118"/>
    <mergeCell ref="F119:F124"/>
    <mergeCell ref="F125:F130"/>
    <mergeCell ref="F131:F136"/>
    <mergeCell ref="F137:F142"/>
    <mergeCell ref="F293:F298"/>
    <mergeCell ref="F299:F304"/>
    <mergeCell ref="A5:A10"/>
    <mergeCell ref="F263:F268"/>
    <mergeCell ref="F269:F274"/>
    <mergeCell ref="F275:F280"/>
    <mergeCell ref="F281:F286"/>
    <mergeCell ref="F287:F292"/>
    <mergeCell ref="F233:F238"/>
    <mergeCell ref="F239:F244"/>
    <mergeCell ref="F245:F250"/>
    <mergeCell ref="F251:F256"/>
    <mergeCell ref="F257:F262"/>
    <mergeCell ref="F203:F208"/>
    <mergeCell ref="F209:F214"/>
    <mergeCell ref="F215:F220"/>
    <mergeCell ref="F221:F226"/>
    <mergeCell ref="F227:F232"/>
    <mergeCell ref="F173:F178"/>
    <mergeCell ref="F179:F184"/>
    <mergeCell ref="F185:F190"/>
    <mergeCell ref="F191:F196"/>
    <mergeCell ref="F197:F202"/>
    <mergeCell ref="F143:F148"/>
  </mergeCells>
  <conditionalFormatting sqref="T5:T304">
    <cfRule type="expression" dxfId="3" priority="7">
      <formula>$S$5</formula>
    </cfRule>
  </conditionalFormatting>
  <conditionalFormatting sqref="F5:F304">
    <cfRule type="notContainsBlanks" dxfId="2" priority="5">
      <formula>LEN(TRIM(F5))&gt;0</formula>
    </cfRule>
  </conditionalFormatting>
  <conditionalFormatting sqref="E3:E1048576">
    <cfRule type="cellIs" dxfId="1" priority="4" operator="equal">
      <formula>"v"</formula>
    </cfRule>
  </conditionalFormatting>
  <conditionalFormatting sqref="G5:G304">
    <cfRule type="notContainsBlanks" dxfId="0" priority="2">
      <formula>LEN(TRIM(G5))&gt;0</formula>
    </cfRule>
  </conditionalFormatting>
  <dataValidations count="4">
    <dataValidation type="list" allowBlank="1" showInputMessage="1" showErrorMessage="1" sqref="XES1 A5:A10">
      <formula1>$XEO$1:$XES$1</formula1>
    </dataValidation>
    <dataValidation type="custom" operator="greaterThan" showInputMessage="1" showErrorMessage="1" errorTitle="JANGAN ISI APAPUN" error="Cell ini tidak perlu diisi apapun. KOSONGKAN SAJA" sqref="E5 E11 E17 E23 E29 E35 E41 E47 E53 E59 E65 E71 E77 E83 E89 E95 E101 E107 E113 E119 E125 E131 E137 E143 E149 E155 E161 E167 E173 E179 E185 E191 E197 E203 E209 E215 E221 E227 E233 E239 E245 E251 E257 E263 E269 E275 E281 E287 E293 E299">
      <formula1>"IF(ISBLANK)"</formula1>
    </dataValidation>
    <dataValidation showInputMessage="1" showErrorMessage="1" errorTitle="JANGAN DIEDIT" error="BIARKAN SAJA_x000a_" sqref="C5:C304"/>
    <dataValidation type="list" showInputMessage="1" showErrorMessage="1" sqref="A11:A304">
      <formula1>$XEN$1:$XES$1</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Sheet2"/>
  <dimension ref="A1:K307"/>
  <sheetViews>
    <sheetView zoomScaleNormal="100" workbookViewId="0">
      <selection activeCell="E8" sqref="E8"/>
    </sheetView>
  </sheetViews>
  <sheetFormatPr defaultRowHeight="15"/>
  <cols>
    <col min="1" max="2" width="9.140625" style="3"/>
    <col min="3" max="3" width="39.5703125" style="3" customWidth="1"/>
    <col min="4" max="16384" width="9.140625" style="3"/>
  </cols>
  <sheetData>
    <row r="1" spans="1:11">
      <c r="A1" s="3" t="s">
        <v>6</v>
      </c>
      <c r="B1" s="3" t="s">
        <v>7</v>
      </c>
      <c r="C1" s="3" t="s">
        <v>8</v>
      </c>
    </row>
    <row r="2" spans="1:11">
      <c r="A2" s="3" t="s">
        <v>9</v>
      </c>
      <c r="B2" s="3" t="s">
        <v>10</v>
      </c>
      <c r="C2" s="3" t="s">
        <v>11</v>
      </c>
      <c r="D2" s="3" t="s">
        <v>12</v>
      </c>
    </row>
    <row r="3" spans="1:11">
      <c r="A3" s="3" t="s">
        <v>13</v>
      </c>
      <c r="B3" s="3" t="s">
        <v>14</v>
      </c>
      <c r="C3" s="3" t="s">
        <v>15</v>
      </c>
      <c r="D3" s="3" t="s">
        <v>16</v>
      </c>
      <c r="E3" s="3" t="s">
        <v>17</v>
      </c>
      <c r="F3" s="3" t="s">
        <v>18</v>
      </c>
      <c r="G3" s="3" t="s">
        <v>19</v>
      </c>
      <c r="H3" s="3" t="s">
        <v>20</v>
      </c>
      <c r="I3" s="3" t="s">
        <v>21</v>
      </c>
      <c r="J3" s="3" t="s">
        <v>22</v>
      </c>
      <c r="K3" s="3" t="s">
        <v>23</v>
      </c>
    </row>
    <row r="4" spans="1:11">
      <c r="A4" s="3" t="s">
        <v>24</v>
      </c>
      <c r="B4" s="3" t="s">
        <v>25</v>
      </c>
      <c r="C4" s="3" t="s">
        <v>26</v>
      </c>
      <c r="D4" s="3" t="s">
        <v>27</v>
      </c>
      <c r="E4" s="3" t="s">
        <v>28</v>
      </c>
      <c r="F4" s="3" t="s">
        <v>29</v>
      </c>
      <c r="G4" s="3" t="s">
        <v>30</v>
      </c>
    </row>
    <row r="6" spans="1:11">
      <c r="A6" s="3" t="s">
        <v>31</v>
      </c>
      <c r="B6" s="3" t="s">
        <v>32</v>
      </c>
      <c r="C6" s="3">
        <f>Sheet1!C1</f>
        <v>0</v>
      </c>
    </row>
    <row r="7" spans="1:11">
      <c r="A7" s="3" t="s">
        <v>33</v>
      </c>
      <c r="B7" s="3" t="s">
        <v>32</v>
      </c>
      <c r="C7" s="3">
        <f>Sheet1!C2</f>
        <v>0</v>
      </c>
    </row>
    <row r="8" spans="1:11">
      <c r="A8" s="3" t="str">
        <f>IF(LEN(Sheet1!C5)&lt;1,"",IF(LEN(Sheet1!C5)&gt;1,"Q","A"))</f>
        <v/>
      </c>
      <c r="B8" s="3" t="str">
        <f>IF(LEN(A8)&lt;1,"",Sheet1!P5)</f>
        <v/>
      </c>
      <c r="C8" s="3" t="str">
        <f>IF(LEN(A8)&lt;1,"",Sheet1!X5)</f>
        <v/>
      </c>
      <c r="E8" s="3" t="str">
        <f>IF(LEN(A8)&lt;1,"",Sheet1!M5)</f>
        <v/>
      </c>
      <c r="F8" s="3" t="str">
        <f>IF(ISBLANK(A8),"",Sheet1!N5)</f>
        <v/>
      </c>
      <c r="G8" s="3" t="str">
        <f>IF(ISBLANK(A8),"",Sheet1!O5)</f>
        <v/>
      </c>
      <c r="H8" s="3" t="str">
        <f>IF(ISBLANK(A8),"",IF(A8="Q",0,""))</f>
        <v/>
      </c>
      <c r="I8" s="3" t="str">
        <f>IF(ISBLANK(A8),"",IF(A8="Q",0,""))</f>
        <v/>
      </c>
      <c r="J8" s="3" t="str">
        <f>IF(ISBLANK(A8),"",IF(A8="Q",0,""))</f>
        <v/>
      </c>
      <c r="K8" s="3" t="str">
        <f>IF(ISBLANK(A8),"",IF(A8="Q",0,""))</f>
        <v/>
      </c>
    </row>
    <row r="9" spans="1:11">
      <c r="A9" s="3" t="str">
        <f>IF(LEN(Sheet1!C6)&lt;1,"",IF(LEN(Sheet1!C6)&gt;1,"Q","A"))</f>
        <v/>
      </c>
      <c r="B9" s="3" t="str">
        <f>IF(LEN(A9)&lt;1,"",Sheet1!P6)</f>
        <v/>
      </c>
      <c r="C9" s="3" t="str">
        <f>IF(LEN(A9)&lt;1,"",Sheet1!X6)</f>
        <v/>
      </c>
      <c r="E9" s="3" t="str">
        <f>IF(LEN(A9)&lt;1,"",Sheet1!M6)</f>
        <v/>
      </c>
      <c r="F9" s="3" t="str">
        <f>IF(ISBLANK(A9),"",Sheet1!N6)</f>
        <v/>
      </c>
      <c r="G9" s="3" t="str">
        <f>IF(ISBLANK(A9),"",Sheet1!O6)</f>
        <v/>
      </c>
      <c r="H9" s="3" t="str">
        <f t="shared" ref="H9:H72" si="0">IF(ISBLANK(A9),"",IF(A9="Q",0,""))</f>
        <v/>
      </c>
      <c r="I9" s="3" t="str">
        <f t="shared" ref="I9:I72" si="1">IF(ISBLANK(A9),"",IF(A9="Q",0,""))</f>
        <v/>
      </c>
      <c r="J9" s="3" t="str">
        <f t="shared" ref="J9:J72" si="2">IF(ISBLANK(A9),"",IF(A9="Q",0,""))</f>
        <v/>
      </c>
      <c r="K9" s="3" t="str">
        <f t="shared" ref="K9:K72" si="3">IF(ISBLANK(A9),"",IF(A9="Q",0,""))</f>
        <v/>
      </c>
    </row>
    <row r="10" spans="1:11">
      <c r="A10" s="3" t="str">
        <f>IF(LEN(Sheet1!C7)&lt;1,"",IF(LEN(Sheet1!C7)&gt;1,"Q","A"))</f>
        <v/>
      </c>
      <c r="B10" s="3" t="str">
        <f>IF(LEN(A10)&lt;1,"",Sheet1!P7)</f>
        <v/>
      </c>
      <c r="C10" s="3" t="str">
        <f>IF(LEN(A10)&lt;1,"",Sheet1!X7)</f>
        <v/>
      </c>
      <c r="E10" s="3" t="str">
        <f>IF(LEN(A10)&lt;1,"",Sheet1!M7)</f>
        <v/>
      </c>
      <c r="F10" s="3" t="str">
        <f>IF(ISBLANK(A10),"",Sheet1!N7)</f>
        <v/>
      </c>
      <c r="G10" s="3" t="str">
        <f>IF(ISBLANK(A10),"",Sheet1!O7)</f>
        <v/>
      </c>
      <c r="H10" s="3" t="str">
        <f t="shared" si="0"/>
        <v/>
      </c>
      <c r="I10" s="3" t="str">
        <f t="shared" si="1"/>
        <v/>
      </c>
      <c r="J10" s="3" t="str">
        <f t="shared" si="2"/>
        <v/>
      </c>
      <c r="K10" s="3" t="str">
        <f t="shared" si="3"/>
        <v/>
      </c>
    </row>
    <row r="11" spans="1:11">
      <c r="A11" s="3" t="str">
        <f>IF(LEN(Sheet1!C8)&lt;1,"",IF(LEN(Sheet1!C8)&gt;1,"Q","A"))</f>
        <v/>
      </c>
      <c r="B11" s="3" t="str">
        <f>IF(LEN(A11)&lt;1,"",Sheet1!P8)</f>
        <v/>
      </c>
      <c r="C11" s="3" t="str">
        <f>IF(LEN(A11)&lt;1,"",Sheet1!X8)</f>
        <v/>
      </c>
      <c r="E11" s="3" t="str">
        <f>IF(LEN(A11)&lt;1,"",Sheet1!M8)</f>
        <v/>
      </c>
      <c r="F11" s="3" t="str">
        <f>IF(ISBLANK(A11),"",Sheet1!N8)</f>
        <v/>
      </c>
      <c r="G11" s="3" t="str">
        <f>IF(ISBLANK(A11),"",Sheet1!O8)</f>
        <v/>
      </c>
      <c r="H11" s="3" t="str">
        <f t="shared" si="0"/>
        <v/>
      </c>
      <c r="I11" s="3" t="str">
        <f t="shared" si="1"/>
        <v/>
      </c>
      <c r="J11" s="3" t="str">
        <f t="shared" si="2"/>
        <v/>
      </c>
      <c r="K11" s="3" t="str">
        <f t="shared" si="3"/>
        <v/>
      </c>
    </row>
    <row r="12" spans="1:11">
      <c r="A12" s="3" t="str">
        <f>IF(LEN(Sheet1!C9)&lt;1,"",IF(LEN(Sheet1!C9)&gt;1,"Q","A"))</f>
        <v/>
      </c>
      <c r="B12" s="3" t="str">
        <f>IF(LEN(A12)&lt;1,"",Sheet1!P9)</f>
        <v/>
      </c>
      <c r="C12" s="3" t="str">
        <f>IF(LEN(A12)&lt;1,"",Sheet1!X9)</f>
        <v/>
      </c>
      <c r="E12" s="3" t="str">
        <f>IF(LEN(A12)&lt;1,"",Sheet1!M9)</f>
        <v/>
      </c>
      <c r="F12" s="3" t="str">
        <f>IF(ISBLANK(A12),"",Sheet1!N9)</f>
        <v/>
      </c>
      <c r="G12" s="3" t="str">
        <f>IF(ISBLANK(A12),"",Sheet1!O9)</f>
        <v/>
      </c>
      <c r="H12" s="3" t="str">
        <f t="shared" si="0"/>
        <v/>
      </c>
      <c r="I12" s="3" t="str">
        <f t="shared" si="1"/>
        <v/>
      </c>
      <c r="J12" s="3" t="str">
        <f t="shared" si="2"/>
        <v/>
      </c>
      <c r="K12" s="3" t="str">
        <f t="shared" si="3"/>
        <v/>
      </c>
    </row>
    <row r="13" spans="1:11">
      <c r="A13" s="3" t="str">
        <f>IF(LEN(Sheet1!C10)&lt;1,"",IF(LEN(Sheet1!C10)&gt;1,"Q","A"))</f>
        <v/>
      </c>
      <c r="B13" s="3" t="str">
        <f>IF(LEN(A13)&lt;1,"",Sheet1!P10)</f>
        <v/>
      </c>
      <c r="C13" s="3" t="str">
        <f>IF(LEN(A13)&lt;1,"",Sheet1!X10)</f>
        <v/>
      </c>
      <c r="E13" s="3" t="str">
        <f>IF(LEN(A13)&lt;1,"",Sheet1!M10)</f>
        <v/>
      </c>
      <c r="F13" s="3" t="str">
        <f>IF(ISBLANK(A13),"",Sheet1!N10)</f>
        <v/>
      </c>
      <c r="G13" s="3" t="str">
        <f>IF(ISBLANK(A13),"",Sheet1!O10)</f>
        <v/>
      </c>
      <c r="H13" s="3" t="str">
        <f t="shared" si="0"/>
        <v/>
      </c>
      <c r="I13" s="3" t="str">
        <f t="shared" si="1"/>
        <v/>
      </c>
      <c r="J13" s="3" t="str">
        <f t="shared" si="2"/>
        <v/>
      </c>
      <c r="K13" s="3" t="str">
        <f t="shared" si="3"/>
        <v/>
      </c>
    </row>
    <row r="14" spans="1:11">
      <c r="A14" s="3" t="str">
        <f>IF(LEN(Sheet1!C11)&lt;1,"",IF(LEN(Sheet1!C11)&gt;1,"Q","A"))</f>
        <v/>
      </c>
      <c r="B14" s="3" t="str">
        <f>IF(LEN(A14)&lt;1,"",Sheet1!P11)</f>
        <v/>
      </c>
      <c r="C14" s="3" t="str">
        <f>IF(LEN(A14)&lt;1,"",Sheet1!X11)</f>
        <v/>
      </c>
      <c r="E14" s="3" t="str">
        <f>IF(LEN(A14)&lt;1,"",Sheet1!M11)</f>
        <v/>
      </c>
      <c r="F14" s="3" t="str">
        <f>IF(ISBLANK(A14),"",Sheet1!N11)</f>
        <v/>
      </c>
      <c r="G14" s="3" t="str">
        <f>IF(ISBLANK(A14),"",Sheet1!O11)</f>
        <v/>
      </c>
      <c r="H14" s="3" t="str">
        <f t="shared" si="0"/>
        <v/>
      </c>
      <c r="I14" s="3" t="str">
        <f t="shared" si="1"/>
        <v/>
      </c>
      <c r="J14" s="3" t="str">
        <f t="shared" si="2"/>
        <v/>
      </c>
      <c r="K14" s="3" t="str">
        <f t="shared" si="3"/>
        <v/>
      </c>
    </row>
    <row r="15" spans="1:11">
      <c r="A15" s="3" t="str">
        <f>IF(LEN(Sheet1!C12)&lt;1,"",IF(LEN(Sheet1!C12)&gt;1,"Q","A"))</f>
        <v/>
      </c>
      <c r="B15" s="3" t="str">
        <f>IF(LEN(A15)&lt;1,"",Sheet1!P12)</f>
        <v/>
      </c>
      <c r="C15" s="3" t="str">
        <f>IF(LEN(A15)&lt;1,"",Sheet1!X12)</f>
        <v/>
      </c>
      <c r="E15" s="3" t="str">
        <f>IF(LEN(A15)&lt;1,"",Sheet1!M12)</f>
        <v/>
      </c>
      <c r="F15" s="3" t="str">
        <f>IF(ISBLANK(A15),"",Sheet1!N12)</f>
        <v/>
      </c>
      <c r="G15" s="3" t="str">
        <f>IF(ISBLANK(A15),"",Sheet1!O12)</f>
        <v/>
      </c>
      <c r="H15" s="3" t="str">
        <f t="shared" si="0"/>
        <v/>
      </c>
      <c r="I15" s="3" t="str">
        <f t="shared" si="1"/>
        <v/>
      </c>
      <c r="J15" s="3" t="str">
        <f t="shared" si="2"/>
        <v/>
      </c>
      <c r="K15" s="3" t="str">
        <f t="shared" si="3"/>
        <v/>
      </c>
    </row>
    <row r="16" spans="1:11">
      <c r="A16" s="3" t="str">
        <f>IF(LEN(Sheet1!C13)&lt;1,"",IF(LEN(Sheet1!C13)&gt;1,"Q","A"))</f>
        <v/>
      </c>
      <c r="B16" s="3" t="str">
        <f>IF(LEN(A16)&lt;1,"",Sheet1!P13)</f>
        <v/>
      </c>
      <c r="C16" s="3" t="str">
        <f>IF(LEN(A16)&lt;1,"",Sheet1!X13)</f>
        <v/>
      </c>
      <c r="E16" s="3" t="str">
        <f>IF(LEN(A16)&lt;1,"",Sheet1!M13)</f>
        <v/>
      </c>
      <c r="F16" s="3" t="str">
        <f>IF(ISBLANK(A16),"",Sheet1!N13)</f>
        <v/>
      </c>
      <c r="G16" s="3" t="str">
        <f>IF(ISBLANK(A16),"",Sheet1!O13)</f>
        <v/>
      </c>
      <c r="H16" s="3" t="str">
        <f t="shared" si="0"/>
        <v/>
      </c>
      <c r="I16" s="3" t="str">
        <f t="shared" si="1"/>
        <v/>
      </c>
      <c r="J16" s="3" t="str">
        <f t="shared" si="2"/>
        <v/>
      </c>
      <c r="K16" s="3" t="str">
        <f t="shared" si="3"/>
        <v/>
      </c>
    </row>
    <row r="17" spans="1:11">
      <c r="A17" s="3" t="str">
        <f>IF(LEN(Sheet1!C14)&lt;1,"",IF(LEN(Sheet1!C14)&gt;1,"Q","A"))</f>
        <v/>
      </c>
      <c r="B17" s="3" t="str">
        <f>IF(LEN(A17)&lt;1,"",Sheet1!P14)</f>
        <v/>
      </c>
      <c r="C17" s="3" t="str">
        <f>IF(LEN(A17)&lt;1,"",Sheet1!X14)</f>
        <v/>
      </c>
      <c r="E17" s="3" t="str">
        <f>IF(LEN(A17)&lt;1,"",Sheet1!M14)</f>
        <v/>
      </c>
      <c r="F17" s="3" t="str">
        <f>IF(ISBLANK(A17),"",Sheet1!N14)</f>
        <v/>
      </c>
      <c r="G17" s="3" t="str">
        <f>IF(ISBLANK(A17),"",Sheet1!O14)</f>
        <v/>
      </c>
      <c r="H17" s="3" t="str">
        <f t="shared" si="0"/>
        <v/>
      </c>
      <c r="I17" s="3" t="str">
        <f t="shared" si="1"/>
        <v/>
      </c>
      <c r="J17" s="3" t="str">
        <f t="shared" si="2"/>
        <v/>
      </c>
      <c r="K17" s="3" t="str">
        <f t="shared" si="3"/>
        <v/>
      </c>
    </row>
    <row r="18" spans="1:11">
      <c r="A18" s="3" t="str">
        <f>IF(LEN(Sheet1!C15)&lt;1,"",IF(LEN(Sheet1!C15)&gt;1,"Q","A"))</f>
        <v/>
      </c>
      <c r="B18" s="3" t="str">
        <f>IF(LEN(A18)&lt;1,"",Sheet1!P15)</f>
        <v/>
      </c>
      <c r="C18" s="3" t="str">
        <f>IF(LEN(A18)&lt;1,"",Sheet1!X15)</f>
        <v/>
      </c>
      <c r="E18" s="3" t="str">
        <f>IF(LEN(A18)&lt;1,"",Sheet1!M15)</f>
        <v/>
      </c>
      <c r="F18" s="3" t="str">
        <f>IF(ISBLANK(A18),"",Sheet1!N15)</f>
        <v/>
      </c>
      <c r="G18" s="3" t="str">
        <f>IF(ISBLANK(A18),"",Sheet1!O15)</f>
        <v/>
      </c>
      <c r="H18" s="3" t="str">
        <f t="shared" si="0"/>
        <v/>
      </c>
      <c r="I18" s="3" t="str">
        <f t="shared" si="1"/>
        <v/>
      </c>
      <c r="J18" s="3" t="str">
        <f t="shared" si="2"/>
        <v/>
      </c>
      <c r="K18" s="3" t="str">
        <f t="shared" si="3"/>
        <v/>
      </c>
    </row>
    <row r="19" spans="1:11">
      <c r="A19" s="3" t="str">
        <f>IF(LEN(Sheet1!C16)&lt;1,"",IF(LEN(Sheet1!C16)&gt;1,"Q","A"))</f>
        <v/>
      </c>
      <c r="B19" s="3" t="str">
        <f>IF(LEN(A19)&lt;1,"",Sheet1!P16)</f>
        <v/>
      </c>
      <c r="C19" s="3" t="str">
        <f>IF(LEN(A19)&lt;1,"",Sheet1!X16)</f>
        <v/>
      </c>
      <c r="E19" s="3" t="str">
        <f>IF(LEN(A19)&lt;1,"",Sheet1!M16)</f>
        <v/>
      </c>
      <c r="F19" s="3" t="str">
        <f>IF(ISBLANK(A19),"",Sheet1!N16)</f>
        <v/>
      </c>
      <c r="G19" s="3" t="str">
        <f>IF(ISBLANK(A19),"",Sheet1!O16)</f>
        <v/>
      </c>
      <c r="H19" s="3" t="str">
        <f t="shared" si="0"/>
        <v/>
      </c>
      <c r="I19" s="3" t="str">
        <f t="shared" si="1"/>
        <v/>
      </c>
      <c r="J19" s="3" t="str">
        <f t="shared" si="2"/>
        <v/>
      </c>
      <c r="K19" s="3" t="str">
        <f t="shared" si="3"/>
        <v/>
      </c>
    </row>
    <row r="20" spans="1:11">
      <c r="A20" s="3" t="str">
        <f>IF(LEN(Sheet1!C17)&lt;1,"",IF(LEN(Sheet1!C17)&gt;1,"Q","A"))</f>
        <v/>
      </c>
      <c r="B20" s="3" t="str">
        <f>IF(LEN(A20)&lt;1,"",Sheet1!P17)</f>
        <v/>
      </c>
      <c r="C20" s="3" t="str">
        <f>IF(LEN(A20)&lt;1,"",Sheet1!X17)</f>
        <v/>
      </c>
      <c r="E20" s="3" t="str">
        <f>IF(LEN(A20)&lt;1,"",Sheet1!M17)</f>
        <v/>
      </c>
      <c r="F20" s="3" t="str">
        <f>IF(ISBLANK(A20),"",Sheet1!N17)</f>
        <v/>
      </c>
      <c r="G20" s="3" t="str">
        <f>IF(ISBLANK(A20),"",Sheet1!O17)</f>
        <v/>
      </c>
      <c r="H20" s="3" t="str">
        <f t="shared" si="0"/>
        <v/>
      </c>
      <c r="I20" s="3" t="str">
        <f t="shared" si="1"/>
        <v/>
      </c>
      <c r="J20" s="3" t="str">
        <f t="shared" si="2"/>
        <v/>
      </c>
      <c r="K20" s="3" t="str">
        <f t="shared" si="3"/>
        <v/>
      </c>
    </row>
    <row r="21" spans="1:11">
      <c r="A21" s="3" t="str">
        <f>IF(LEN(Sheet1!C18)&lt;1,"",IF(LEN(Sheet1!C18)&gt;1,"Q","A"))</f>
        <v/>
      </c>
      <c r="B21" s="3" t="str">
        <f>IF(LEN(A21)&lt;1,"",Sheet1!P18)</f>
        <v/>
      </c>
      <c r="C21" s="3" t="str">
        <f>IF(LEN(A21)&lt;1,"",Sheet1!X18)</f>
        <v/>
      </c>
      <c r="E21" s="3" t="str">
        <f>IF(LEN(A21)&lt;1,"",Sheet1!M18)</f>
        <v/>
      </c>
      <c r="F21" s="3" t="str">
        <f>IF(ISBLANK(A21),"",Sheet1!N18)</f>
        <v/>
      </c>
      <c r="G21" s="3" t="str">
        <f>IF(ISBLANK(A21),"",Sheet1!O18)</f>
        <v/>
      </c>
      <c r="H21" s="3" t="str">
        <f t="shared" si="0"/>
        <v/>
      </c>
      <c r="I21" s="3" t="str">
        <f t="shared" si="1"/>
        <v/>
      </c>
      <c r="J21" s="3" t="str">
        <f t="shared" si="2"/>
        <v/>
      </c>
      <c r="K21" s="3" t="str">
        <f t="shared" si="3"/>
        <v/>
      </c>
    </row>
    <row r="22" spans="1:11">
      <c r="A22" s="3" t="str">
        <f>IF(LEN(Sheet1!C19)&lt;1,"",IF(LEN(Sheet1!C19)&gt;1,"Q","A"))</f>
        <v/>
      </c>
      <c r="B22" s="3" t="str">
        <f>IF(LEN(A22)&lt;1,"",Sheet1!P19)</f>
        <v/>
      </c>
      <c r="C22" s="3" t="str">
        <f>IF(LEN(A22)&lt;1,"",Sheet1!X19)</f>
        <v/>
      </c>
      <c r="E22" s="3" t="str">
        <f>IF(LEN(A22)&lt;1,"",Sheet1!M19)</f>
        <v/>
      </c>
      <c r="F22" s="3" t="str">
        <f>IF(ISBLANK(A22),"",Sheet1!N19)</f>
        <v/>
      </c>
      <c r="G22" s="3" t="str">
        <f>IF(ISBLANK(A22),"",Sheet1!O19)</f>
        <v/>
      </c>
      <c r="H22" s="3" t="str">
        <f t="shared" si="0"/>
        <v/>
      </c>
      <c r="I22" s="3" t="str">
        <f t="shared" si="1"/>
        <v/>
      </c>
      <c r="J22" s="3" t="str">
        <f t="shared" si="2"/>
        <v/>
      </c>
      <c r="K22" s="3" t="str">
        <f t="shared" si="3"/>
        <v/>
      </c>
    </row>
    <row r="23" spans="1:11">
      <c r="A23" s="3" t="str">
        <f>IF(LEN(Sheet1!C20)&lt;1,"",IF(LEN(Sheet1!C20)&gt;1,"Q","A"))</f>
        <v/>
      </c>
      <c r="B23" s="3" t="str">
        <f>IF(LEN(A23)&lt;1,"",Sheet1!P20)</f>
        <v/>
      </c>
      <c r="C23" s="3" t="str">
        <f>IF(LEN(A23)&lt;1,"",Sheet1!X20)</f>
        <v/>
      </c>
      <c r="E23" s="3" t="str">
        <f>IF(LEN(A23)&lt;1,"",Sheet1!M20)</f>
        <v/>
      </c>
      <c r="F23" s="3" t="str">
        <f>IF(ISBLANK(A23),"",Sheet1!N20)</f>
        <v/>
      </c>
      <c r="G23" s="3" t="str">
        <f>IF(ISBLANK(A23),"",Sheet1!O20)</f>
        <v/>
      </c>
      <c r="H23" s="3" t="str">
        <f t="shared" si="0"/>
        <v/>
      </c>
      <c r="I23" s="3" t="str">
        <f t="shared" si="1"/>
        <v/>
      </c>
      <c r="J23" s="3" t="str">
        <f t="shared" si="2"/>
        <v/>
      </c>
      <c r="K23" s="3" t="str">
        <f t="shared" si="3"/>
        <v/>
      </c>
    </row>
    <row r="24" spans="1:11">
      <c r="A24" s="3" t="str">
        <f>IF(LEN(Sheet1!C21)&lt;1,"",IF(LEN(Sheet1!C21)&gt;1,"Q","A"))</f>
        <v/>
      </c>
      <c r="B24" s="3" t="str">
        <f>IF(LEN(A24)&lt;1,"",Sheet1!P21)</f>
        <v/>
      </c>
      <c r="C24" s="3" t="str">
        <f>IF(LEN(A24)&lt;1,"",Sheet1!X21)</f>
        <v/>
      </c>
      <c r="E24" s="3" t="str">
        <f>IF(LEN(A24)&lt;1,"",Sheet1!M21)</f>
        <v/>
      </c>
      <c r="F24" s="3" t="str">
        <f>IF(ISBLANK(A24),"",Sheet1!N21)</f>
        <v/>
      </c>
      <c r="G24" s="3" t="str">
        <f>IF(ISBLANK(A24),"",Sheet1!O21)</f>
        <v/>
      </c>
      <c r="H24" s="3" t="str">
        <f t="shared" si="0"/>
        <v/>
      </c>
      <c r="I24" s="3" t="str">
        <f t="shared" si="1"/>
        <v/>
      </c>
      <c r="J24" s="3" t="str">
        <f t="shared" si="2"/>
        <v/>
      </c>
      <c r="K24" s="3" t="str">
        <f t="shared" si="3"/>
        <v/>
      </c>
    </row>
    <row r="25" spans="1:11">
      <c r="A25" s="3" t="str">
        <f>IF(LEN(Sheet1!C22)&lt;1,"",IF(LEN(Sheet1!C22)&gt;1,"Q","A"))</f>
        <v/>
      </c>
      <c r="B25" s="3" t="str">
        <f>IF(LEN(A25)&lt;1,"",Sheet1!P22)</f>
        <v/>
      </c>
      <c r="C25" s="3" t="str">
        <f>IF(LEN(A25)&lt;1,"",Sheet1!X22)</f>
        <v/>
      </c>
      <c r="E25" s="3" t="str">
        <f>IF(LEN(A25)&lt;1,"",Sheet1!M22)</f>
        <v/>
      </c>
      <c r="F25" s="3" t="str">
        <f>IF(ISBLANK(A25),"",Sheet1!N22)</f>
        <v/>
      </c>
      <c r="G25" s="3" t="str">
        <f>IF(ISBLANK(A25),"",Sheet1!O22)</f>
        <v/>
      </c>
      <c r="H25" s="3" t="str">
        <f t="shared" si="0"/>
        <v/>
      </c>
      <c r="I25" s="3" t="str">
        <f t="shared" si="1"/>
        <v/>
      </c>
      <c r="J25" s="3" t="str">
        <f t="shared" si="2"/>
        <v/>
      </c>
      <c r="K25" s="3" t="str">
        <f t="shared" si="3"/>
        <v/>
      </c>
    </row>
    <row r="26" spans="1:11">
      <c r="A26" s="3" t="str">
        <f>IF(LEN(Sheet1!C23)&lt;1,"",IF(LEN(Sheet1!C23)&gt;1,"Q","A"))</f>
        <v/>
      </c>
      <c r="B26" s="3" t="str">
        <f>IF(LEN(A26)&lt;1,"",Sheet1!P23)</f>
        <v/>
      </c>
      <c r="C26" s="3" t="str">
        <f>IF(LEN(A26)&lt;1,"",Sheet1!X23)</f>
        <v/>
      </c>
      <c r="E26" s="3" t="str">
        <f>IF(LEN(A26)&lt;1,"",Sheet1!M23)</f>
        <v/>
      </c>
      <c r="F26" s="3" t="str">
        <f>IF(ISBLANK(A26),"",Sheet1!N23)</f>
        <v/>
      </c>
      <c r="G26" s="3" t="str">
        <f>IF(ISBLANK(A26),"",Sheet1!O23)</f>
        <v/>
      </c>
      <c r="H26" s="3" t="str">
        <f t="shared" si="0"/>
        <v/>
      </c>
      <c r="I26" s="3" t="str">
        <f t="shared" si="1"/>
        <v/>
      </c>
      <c r="J26" s="3" t="str">
        <f t="shared" si="2"/>
        <v/>
      </c>
      <c r="K26" s="3" t="str">
        <f t="shared" si="3"/>
        <v/>
      </c>
    </row>
    <row r="27" spans="1:11">
      <c r="A27" s="3" t="str">
        <f>IF(LEN(Sheet1!C24)&lt;1,"",IF(LEN(Sheet1!C24)&gt;1,"Q","A"))</f>
        <v/>
      </c>
      <c r="B27" s="3" t="str">
        <f>IF(LEN(A27)&lt;1,"",Sheet1!P24)</f>
        <v/>
      </c>
      <c r="C27" s="3" t="str">
        <f>IF(LEN(A27)&lt;1,"",Sheet1!X24)</f>
        <v/>
      </c>
      <c r="E27" s="3" t="str">
        <f>IF(LEN(A27)&lt;1,"",Sheet1!M24)</f>
        <v/>
      </c>
      <c r="F27" s="3" t="str">
        <f>IF(ISBLANK(A27),"",Sheet1!N24)</f>
        <v/>
      </c>
      <c r="G27" s="3" t="str">
        <f>IF(ISBLANK(A27),"",Sheet1!O24)</f>
        <v/>
      </c>
      <c r="H27" s="3" t="str">
        <f t="shared" si="0"/>
        <v/>
      </c>
      <c r="I27" s="3" t="str">
        <f t="shared" si="1"/>
        <v/>
      </c>
      <c r="J27" s="3" t="str">
        <f t="shared" si="2"/>
        <v/>
      </c>
      <c r="K27" s="3" t="str">
        <f t="shared" si="3"/>
        <v/>
      </c>
    </row>
    <row r="28" spans="1:11">
      <c r="A28" s="3" t="str">
        <f>IF(LEN(Sheet1!C25)&lt;1,"",IF(LEN(Sheet1!C25)&gt;1,"Q","A"))</f>
        <v/>
      </c>
      <c r="B28" s="3" t="str">
        <f>IF(LEN(A28)&lt;1,"",Sheet1!P25)</f>
        <v/>
      </c>
      <c r="C28" s="3" t="str">
        <f>IF(LEN(A28)&lt;1,"",Sheet1!X25)</f>
        <v/>
      </c>
      <c r="E28" s="3" t="str">
        <f>IF(LEN(A28)&lt;1,"",Sheet1!M25)</f>
        <v/>
      </c>
      <c r="F28" s="3" t="str">
        <f>IF(ISBLANK(A28),"",Sheet1!N25)</f>
        <v/>
      </c>
      <c r="G28" s="3" t="str">
        <f>IF(ISBLANK(A28),"",Sheet1!O25)</f>
        <v/>
      </c>
      <c r="H28" s="3" t="str">
        <f t="shared" si="0"/>
        <v/>
      </c>
      <c r="I28" s="3" t="str">
        <f t="shared" si="1"/>
        <v/>
      </c>
      <c r="J28" s="3" t="str">
        <f t="shared" si="2"/>
        <v/>
      </c>
      <c r="K28" s="3" t="str">
        <f t="shared" si="3"/>
        <v/>
      </c>
    </row>
    <row r="29" spans="1:11">
      <c r="A29" s="3" t="str">
        <f>IF(LEN(Sheet1!C26)&lt;1,"",IF(LEN(Sheet1!C26)&gt;1,"Q","A"))</f>
        <v/>
      </c>
      <c r="B29" s="3" t="str">
        <f>IF(LEN(A29)&lt;1,"",Sheet1!P26)</f>
        <v/>
      </c>
      <c r="C29" s="3" t="str">
        <f>IF(LEN(A29)&lt;1,"",Sheet1!X26)</f>
        <v/>
      </c>
      <c r="E29" s="3" t="str">
        <f>IF(LEN(A29)&lt;1,"",Sheet1!M26)</f>
        <v/>
      </c>
      <c r="F29" s="3" t="str">
        <f>IF(ISBLANK(A29),"",Sheet1!N26)</f>
        <v/>
      </c>
      <c r="G29" s="3" t="str">
        <f>IF(ISBLANK(A29),"",Sheet1!O26)</f>
        <v/>
      </c>
      <c r="H29" s="3" t="str">
        <f t="shared" si="0"/>
        <v/>
      </c>
      <c r="I29" s="3" t="str">
        <f t="shared" si="1"/>
        <v/>
      </c>
      <c r="J29" s="3" t="str">
        <f t="shared" si="2"/>
        <v/>
      </c>
      <c r="K29" s="3" t="str">
        <f t="shared" si="3"/>
        <v/>
      </c>
    </row>
    <row r="30" spans="1:11">
      <c r="A30" s="3" t="str">
        <f>IF(LEN(Sheet1!C27)&lt;1,"",IF(LEN(Sheet1!C27)&gt;1,"Q","A"))</f>
        <v/>
      </c>
      <c r="B30" s="3" t="str">
        <f>IF(LEN(A30)&lt;1,"",Sheet1!P27)</f>
        <v/>
      </c>
      <c r="C30" s="3" t="str">
        <f>IF(LEN(A30)&lt;1,"",Sheet1!X27)</f>
        <v/>
      </c>
      <c r="E30" s="3" t="str">
        <f>IF(LEN(A30)&lt;1,"",Sheet1!M27)</f>
        <v/>
      </c>
      <c r="F30" s="3" t="str">
        <f>IF(ISBLANK(A30),"",Sheet1!N27)</f>
        <v/>
      </c>
      <c r="G30" s="3" t="str">
        <f>IF(ISBLANK(A30),"",Sheet1!O27)</f>
        <v/>
      </c>
      <c r="H30" s="3" t="str">
        <f t="shared" si="0"/>
        <v/>
      </c>
      <c r="I30" s="3" t="str">
        <f t="shared" si="1"/>
        <v/>
      </c>
      <c r="J30" s="3" t="str">
        <f t="shared" si="2"/>
        <v/>
      </c>
      <c r="K30" s="3" t="str">
        <f t="shared" si="3"/>
        <v/>
      </c>
    </row>
    <row r="31" spans="1:11">
      <c r="A31" s="3" t="str">
        <f>IF(LEN(Sheet1!C28)&lt;1,"",IF(LEN(Sheet1!C28)&gt;1,"Q","A"))</f>
        <v/>
      </c>
      <c r="B31" s="3" t="str">
        <f>IF(LEN(A31)&lt;1,"",Sheet1!P28)</f>
        <v/>
      </c>
      <c r="C31" s="3" t="str">
        <f>IF(LEN(A31)&lt;1,"",Sheet1!X28)</f>
        <v/>
      </c>
      <c r="E31" s="3" t="str">
        <f>IF(LEN(A31)&lt;1,"",Sheet1!M28)</f>
        <v/>
      </c>
      <c r="F31" s="3" t="str">
        <f>IF(ISBLANK(A31),"",Sheet1!N28)</f>
        <v/>
      </c>
      <c r="G31" s="3" t="str">
        <f>IF(ISBLANK(A31),"",Sheet1!O28)</f>
        <v/>
      </c>
      <c r="H31" s="3" t="str">
        <f t="shared" si="0"/>
        <v/>
      </c>
      <c r="I31" s="3" t="str">
        <f t="shared" si="1"/>
        <v/>
      </c>
      <c r="J31" s="3" t="str">
        <f t="shared" si="2"/>
        <v/>
      </c>
      <c r="K31" s="3" t="str">
        <f t="shared" si="3"/>
        <v/>
      </c>
    </row>
    <row r="32" spans="1:11">
      <c r="A32" s="3" t="str">
        <f>IF(LEN(Sheet1!C29)&lt;1,"",IF(LEN(Sheet1!C29)&gt;1,"Q","A"))</f>
        <v/>
      </c>
      <c r="B32" s="3" t="str">
        <f>IF(LEN(A32)&lt;1,"",Sheet1!P29)</f>
        <v/>
      </c>
      <c r="C32" s="3" t="str">
        <f>IF(LEN(A32)&lt;1,"",Sheet1!X29)</f>
        <v/>
      </c>
      <c r="E32" s="3" t="str">
        <f>IF(LEN(A32)&lt;1,"",Sheet1!M29)</f>
        <v/>
      </c>
      <c r="F32" s="3" t="str">
        <f>IF(ISBLANK(A32),"",Sheet1!N29)</f>
        <v/>
      </c>
      <c r="G32" s="3" t="str">
        <f>IF(ISBLANK(A32),"",Sheet1!O29)</f>
        <v/>
      </c>
      <c r="H32" s="3" t="str">
        <f t="shared" si="0"/>
        <v/>
      </c>
      <c r="I32" s="3" t="str">
        <f t="shared" si="1"/>
        <v/>
      </c>
      <c r="J32" s="3" t="str">
        <f t="shared" si="2"/>
        <v/>
      </c>
      <c r="K32" s="3" t="str">
        <f t="shared" si="3"/>
        <v/>
      </c>
    </row>
    <row r="33" spans="1:11">
      <c r="A33" s="3" t="str">
        <f>IF(LEN(Sheet1!C30)&lt;1,"",IF(LEN(Sheet1!C30)&gt;1,"Q","A"))</f>
        <v/>
      </c>
      <c r="B33" s="3" t="str">
        <f>IF(LEN(A33)&lt;1,"",Sheet1!P30)</f>
        <v/>
      </c>
      <c r="C33" s="3" t="str">
        <f>IF(LEN(A33)&lt;1,"",Sheet1!X30)</f>
        <v/>
      </c>
      <c r="E33" s="3" t="str">
        <f>IF(LEN(A33)&lt;1,"",Sheet1!M30)</f>
        <v/>
      </c>
      <c r="F33" s="3" t="str">
        <f>IF(ISBLANK(A33),"",Sheet1!N30)</f>
        <v/>
      </c>
      <c r="G33" s="3" t="str">
        <f>IF(ISBLANK(A33),"",Sheet1!O30)</f>
        <v/>
      </c>
      <c r="H33" s="3" t="str">
        <f t="shared" si="0"/>
        <v/>
      </c>
      <c r="I33" s="3" t="str">
        <f t="shared" si="1"/>
        <v/>
      </c>
      <c r="J33" s="3" t="str">
        <f t="shared" si="2"/>
        <v/>
      </c>
      <c r="K33" s="3" t="str">
        <f t="shared" si="3"/>
        <v/>
      </c>
    </row>
    <row r="34" spans="1:11">
      <c r="A34" s="3" t="str">
        <f>IF(LEN(Sheet1!C31)&lt;1,"",IF(LEN(Sheet1!C31)&gt;1,"Q","A"))</f>
        <v/>
      </c>
      <c r="B34" s="3" t="str">
        <f>IF(LEN(A34)&lt;1,"",Sheet1!P31)</f>
        <v/>
      </c>
      <c r="C34" s="3" t="str">
        <f>IF(LEN(A34)&lt;1,"",Sheet1!X31)</f>
        <v/>
      </c>
      <c r="E34" s="3" t="str">
        <f>IF(LEN(A34)&lt;1,"",Sheet1!M31)</f>
        <v/>
      </c>
      <c r="F34" s="3" t="str">
        <f>IF(ISBLANK(A34),"",Sheet1!N31)</f>
        <v/>
      </c>
      <c r="G34" s="3" t="str">
        <f>IF(ISBLANK(A34),"",Sheet1!O31)</f>
        <v/>
      </c>
      <c r="H34" s="3" t="str">
        <f t="shared" si="0"/>
        <v/>
      </c>
      <c r="I34" s="3" t="str">
        <f t="shared" si="1"/>
        <v/>
      </c>
      <c r="J34" s="3" t="str">
        <f t="shared" si="2"/>
        <v/>
      </c>
      <c r="K34" s="3" t="str">
        <f t="shared" si="3"/>
        <v/>
      </c>
    </row>
    <row r="35" spans="1:11">
      <c r="A35" s="3" t="str">
        <f>IF(LEN(Sheet1!C32)&lt;1,"",IF(LEN(Sheet1!C32)&gt;1,"Q","A"))</f>
        <v/>
      </c>
      <c r="B35" s="3" t="str">
        <f>IF(LEN(A35)&lt;1,"",Sheet1!P32)</f>
        <v/>
      </c>
      <c r="C35" s="3" t="str">
        <f>IF(LEN(A35)&lt;1,"",Sheet1!X32)</f>
        <v/>
      </c>
      <c r="E35" s="3" t="str">
        <f>IF(LEN(A35)&lt;1,"",Sheet1!M32)</f>
        <v/>
      </c>
      <c r="F35" s="3" t="str">
        <f>IF(ISBLANK(A35),"",Sheet1!N32)</f>
        <v/>
      </c>
      <c r="G35" s="3" t="str">
        <f>IF(ISBLANK(A35),"",Sheet1!O32)</f>
        <v/>
      </c>
      <c r="H35" s="3" t="str">
        <f t="shared" si="0"/>
        <v/>
      </c>
      <c r="I35" s="3" t="str">
        <f t="shared" si="1"/>
        <v/>
      </c>
      <c r="J35" s="3" t="str">
        <f t="shared" si="2"/>
        <v/>
      </c>
      <c r="K35" s="3" t="str">
        <f t="shared" si="3"/>
        <v/>
      </c>
    </row>
    <row r="36" spans="1:11">
      <c r="A36" s="3" t="str">
        <f>IF(LEN(Sheet1!C33)&lt;1,"",IF(LEN(Sheet1!C33)&gt;1,"Q","A"))</f>
        <v/>
      </c>
      <c r="B36" s="3" t="str">
        <f>IF(LEN(A36)&lt;1,"",Sheet1!P33)</f>
        <v/>
      </c>
      <c r="C36" s="3" t="str">
        <f>IF(LEN(A36)&lt;1,"",Sheet1!X33)</f>
        <v/>
      </c>
      <c r="E36" s="3" t="str">
        <f>IF(LEN(A36)&lt;1,"",Sheet1!M33)</f>
        <v/>
      </c>
      <c r="F36" s="3" t="str">
        <f>IF(ISBLANK(A36),"",Sheet1!N33)</f>
        <v/>
      </c>
      <c r="G36" s="3" t="str">
        <f>IF(ISBLANK(A36),"",Sheet1!O33)</f>
        <v/>
      </c>
      <c r="H36" s="3" t="str">
        <f t="shared" si="0"/>
        <v/>
      </c>
      <c r="I36" s="3" t="str">
        <f t="shared" si="1"/>
        <v/>
      </c>
      <c r="J36" s="3" t="str">
        <f t="shared" si="2"/>
        <v/>
      </c>
      <c r="K36" s="3" t="str">
        <f t="shared" si="3"/>
        <v/>
      </c>
    </row>
    <row r="37" spans="1:11">
      <c r="A37" s="3" t="str">
        <f>IF(LEN(Sheet1!C34)&lt;1,"",IF(LEN(Sheet1!C34)&gt;1,"Q","A"))</f>
        <v/>
      </c>
      <c r="B37" s="3" t="str">
        <f>IF(LEN(A37)&lt;1,"",Sheet1!P34)</f>
        <v/>
      </c>
      <c r="C37" s="3" t="str">
        <f>IF(LEN(A37)&lt;1,"",Sheet1!X34)</f>
        <v/>
      </c>
      <c r="E37" s="3" t="str">
        <f>IF(LEN(A37)&lt;1,"",Sheet1!M34)</f>
        <v/>
      </c>
      <c r="F37" s="3" t="str">
        <f>IF(ISBLANK(A37),"",Sheet1!N34)</f>
        <v/>
      </c>
      <c r="G37" s="3" t="str">
        <f>IF(ISBLANK(A37),"",Sheet1!O34)</f>
        <v/>
      </c>
      <c r="H37" s="3" t="str">
        <f t="shared" si="0"/>
        <v/>
      </c>
      <c r="I37" s="3" t="str">
        <f t="shared" si="1"/>
        <v/>
      </c>
      <c r="J37" s="3" t="str">
        <f t="shared" si="2"/>
        <v/>
      </c>
      <c r="K37" s="3" t="str">
        <f t="shared" si="3"/>
        <v/>
      </c>
    </row>
    <row r="38" spans="1:11">
      <c r="A38" s="3" t="str">
        <f>IF(LEN(Sheet1!C35)&lt;1,"",IF(LEN(Sheet1!C35)&gt;1,"Q","A"))</f>
        <v/>
      </c>
      <c r="B38" s="3" t="str">
        <f>IF(LEN(A38)&lt;1,"",Sheet1!P35)</f>
        <v/>
      </c>
      <c r="C38" s="3" t="str">
        <f>IF(LEN(A38)&lt;1,"",Sheet1!X35)</f>
        <v/>
      </c>
      <c r="E38" s="3" t="str">
        <f>IF(LEN(A38)&lt;1,"",Sheet1!M35)</f>
        <v/>
      </c>
      <c r="F38" s="3" t="str">
        <f>IF(ISBLANK(A38),"",Sheet1!N35)</f>
        <v/>
      </c>
      <c r="G38" s="3" t="str">
        <f>IF(ISBLANK(A38),"",Sheet1!O35)</f>
        <v/>
      </c>
      <c r="H38" s="3" t="str">
        <f t="shared" si="0"/>
        <v/>
      </c>
      <c r="I38" s="3" t="str">
        <f t="shared" si="1"/>
        <v/>
      </c>
      <c r="J38" s="3" t="str">
        <f t="shared" si="2"/>
        <v/>
      </c>
      <c r="K38" s="3" t="str">
        <f t="shared" si="3"/>
        <v/>
      </c>
    </row>
    <row r="39" spans="1:11">
      <c r="A39" s="3" t="str">
        <f>IF(LEN(Sheet1!C36)&lt;1,"",IF(LEN(Sheet1!C36)&gt;1,"Q","A"))</f>
        <v/>
      </c>
      <c r="B39" s="3" t="str">
        <f>IF(LEN(A39)&lt;1,"",Sheet1!P36)</f>
        <v/>
      </c>
      <c r="C39" s="3" t="str">
        <f>IF(LEN(A39)&lt;1,"",Sheet1!X36)</f>
        <v/>
      </c>
      <c r="E39" s="3" t="str">
        <f>IF(LEN(A39)&lt;1,"",Sheet1!M36)</f>
        <v/>
      </c>
      <c r="F39" s="3" t="str">
        <f>IF(ISBLANK(A39),"",Sheet1!N36)</f>
        <v/>
      </c>
      <c r="G39" s="3" t="str">
        <f>IF(ISBLANK(A39),"",Sheet1!O36)</f>
        <v/>
      </c>
      <c r="H39" s="3" t="str">
        <f t="shared" si="0"/>
        <v/>
      </c>
      <c r="I39" s="3" t="str">
        <f t="shared" si="1"/>
        <v/>
      </c>
      <c r="J39" s="3" t="str">
        <f t="shared" si="2"/>
        <v/>
      </c>
      <c r="K39" s="3" t="str">
        <f t="shared" si="3"/>
        <v/>
      </c>
    </row>
    <row r="40" spans="1:11">
      <c r="A40" s="3" t="str">
        <f>IF(LEN(Sheet1!C37)&lt;1,"",IF(LEN(Sheet1!C37)&gt;1,"Q","A"))</f>
        <v/>
      </c>
      <c r="B40" s="3" t="str">
        <f>IF(LEN(A40)&lt;1,"",Sheet1!P37)</f>
        <v/>
      </c>
      <c r="C40" s="3" t="str">
        <f>IF(LEN(A40)&lt;1,"",Sheet1!X37)</f>
        <v/>
      </c>
      <c r="E40" s="3" t="str">
        <f>IF(LEN(A40)&lt;1,"",Sheet1!M37)</f>
        <v/>
      </c>
      <c r="F40" s="3" t="str">
        <f>IF(ISBLANK(A40),"",Sheet1!N37)</f>
        <v/>
      </c>
      <c r="G40" s="3" t="str">
        <f>IF(ISBLANK(A40),"",Sheet1!O37)</f>
        <v/>
      </c>
      <c r="H40" s="3" t="str">
        <f t="shared" si="0"/>
        <v/>
      </c>
      <c r="I40" s="3" t="str">
        <f t="shared" si="1"/>
        <v/>
      </c>
      <c r="J40" s="3" t="str">
        <f t="shared" si="2"/>
        <v/>
      </c>
      <c r="K40" s="3" t="str">
        <f t="shared" si="3"/>
        <v/>
      </c>
    </row>
    <row r="41" spans="1:11">
      <c r="A41" s="3" t="str">
        <f>IF(LEN(Sheet1!C38)&lt;1,"",IF(LEN(Sheet1!C38)&gt;1,"Q","A"))</f>
        <v/>
      </c>
      <c r="B41" s="3" t="str">
        <f>IF(LEN(A41)&lt;1,"",Sheet1!P38)</f>
        <v/>
      </c>
      <c r="C41" s="3" t="str">
        <f>IF(LEN(A41)&lt;1,"",Sheet1!X38)</f>
        <v/>
      </c>
      <c r="E41" s="3" t="str">
        <f>IF(LEN(A41)&lt;1,"",Sheet1!M38)</f>
        <v/>
      </c>
      <c r="F41" s="3" t="str">
        <f>IF(ISBLANK(A41),"",Sheet1!N38)</f>
        <v/>
      </c>
      <c r="G41" s="3" t="str">
        <f>IF(ISBLANK(A41),"",Sheet1!O38)</f>
        <v/>
      </c>
      <c r="H41" s="3" t="str">
        <f t="shared" si="0"/>
        <v/>
      </c>
      <c r="I41" s="3" t="str">
        <f t="shared" si="1"/>
        <v/>
      </c>
      <c r="J41" s="3" t="str">
        <f t="shared" si="2"/>
        <v/>
      </c>
      <c r="K41" s="3" t="str">
        <f t="shared" si="3"/>
        <v/>
      </c>
    </row>
    <row r="42" spans="1:11">
      <c r="A42" s="3" t="str">
        <f>IF(LEN(Sheet1!C39)&lt;1,"",IF(LEN(Sheet1!C39)&gt;1,"Q","A"))</f>
        <v/>
      </c>
      <c r="B42" s="3" t="str">
        <f>IF(LEN(A42)&lt;1,"",Sheet1!P39)</f>
        <v/>
      </c>
      <c r="C42" s="3" t="str">
        <f>IF(LEN(A42)&lt;1,"",Sheet1!X39)</f>
        <v/>
      </c>
      <c r="E42" s="3" t="str">
        <f>IF(LEN(A42)&lt;1,"",Sheet1!M39)</f>
        <v/>
      </c>
      <c r="F42" s="3" t="str">
        <f>IF(ISBLANK(A42),"",Sheet1!N39)</f>
        <v/>
      </c>
      <c r="G42" s="3" t="str">
        <f>IF(ISBLANK(A42),"",Sheet1!O39)</f>
        <v/>
      </c>
      <c r="H42" s="3" t="str">
        <f t="shared" si="0"/>
        <v/>
      </c>
      <c r="I42" s="3" t="str">
        <f t="shared" si="1"/>
        <v/>
      </c>
      <c r="J42" s="3" t="str">
        <f t="shared" si="2"/>
        <v/>
      </c>
      <c r="K42" s="3" t="str">
        <f t="shared" si="3"/>
        <v/>
      </c>
    </row>
    <row r="43" spans="1:11">
      <c r="A43" s="3" t="str">
        <f>IF(LEN(Sheet1!C40)&lt;1,"",IF(LEN(Sheet1!C40)&gt;1,"Q","A"))</f>
        <v/>
      </c>
      <c r="B43" s="3" t="str">
        <f>IF(LEN(A43)&lt;1,"",Sheet1!P40)</f>
        <v/>
      </c>
      <c r="C43" s="3" t="str">
        <f>IF(LEN(A43)&lt;1,"",Sheet1!X40)</f>
        <v/>
      </c>
      <c r="E43" s="3" t="str">
        <f>IF(LEN(A43)&lt;1,"",Sheet1!M40)</f>
        <v/>
      </c>
      <c r="F43" s="3" t="str">
        <f>IF(ISBLANK(A43),"",Sheet1!N40)</f>
        <v/>
      </c>
      <c r="G43" s="3" t="str">
        <f>IF(ISBLANK(A43),"",Sheet1!O40)</f>
        <v/>
      </c>
      <c r="H43" s="3" t="str">
        <f t="shared" si="0"/>
        <v/>
      </c>
      <c r="I43" s="3" t="str">
        <f t="shared" si="1"/>
        <v/>
      </c>
      <c r="J43" s="3" t="str">
        <f t="shared" si="2"/>
        <v/>
      </c>
      <c r="K43" s="3" t="str">
        <f t="shared" si="3"/>
        <v/>
      </c>
    </row>
    <row r="44" spans="1:11">
      <c r="A44" s="3" t="str">
        <f>IF(LEN(Sheet1!C41)&lt;1,"",IF(LEN(Sheet1!C41)&gt;1,"Q","A"))</f>
        <v/>
      </c>
      <c r="B44" s="3" t="str">
        <f>IF(LEN(A44)&lt;1,"",Sheet1!P41)</f>
        <v/>
      </c>
      <c r="C44" s="3" t="str">
        <f>IF(LEN(A44)&lt;1,"",Sheet1!X41)</f>
        <v/>
      </c>
      <c r="E44" s="3" t="str">
        <f>IF(LEN(A44)&lt;1,"",Sheet1!M41)</f>
        <v/>
      </c>
      <c r="F44" s="3" t="str">
        <f>IF(ISBLANK(A44),"",Sheet1!N41)</f>
        <v/>
      </c>
      <c r="G44" s="3" t="str">
        <f>IF(ISBLANK(A44),"",Sheet1!O41)</f>
        <v/>
      </c>
      <c r="H44" s="3" t="str">
        <f t="shared" si="0"/>
        <v/>
      </c>
      <c r="I44" s="3" t="str">
        <f t="shared" si="1"/>
        <v/>
      </c>
      <c r="J44" s="3" t="str">
        <f t="shared" si="2"/>
        <v/>
      </c>
      <c r="K44" s="3" t="str">
        <f t="shared" si="3"/>
        <v/>
      </c>
    </row>
    <row r="45" spans="1:11">
      <c r="A45" s="3" t="str">
        <f>IF(LEN(Sheet1!C42)&lt;1,"",IF(LEN(Sheet1!C42)&gt;1,"Q","A"))</f>
        <v/>
      </c>
      <c r="B45" s="3" t="str">
        <f>IF(LEN(A45)&lt;1,"",Sheet1!P42)</f>
        <v/>
      </c>
      <c r="C45" s="3" t="str">
        <f>IF(LEN(A45)&lt;1,"",Sheet1!X42)</f>
        <v/>
      </c>
      <c r="E45" s="3" t="str">
        <f>IF(LEN(A45)&lt;1,"",Sheet1!M42)</f>
        <v/>
      </c>
      <c r="F45" s="3" t="str">
        <f>IF(ISBLANK(A45),"",Sheet1!N42)</f>
        <v/>
      </c>
      <c r="G45" s="3" t="str">
        <f>IF(ISBLANK(A45),"",Sheet1!O42)</f>
        <v/>
      </c>
      <c r="H45" s="3" t="str">
        <f t="shared" si="0"/>
        <v/>
      </c>
      <c r="I45" s="3" t="str">
        <f t="shared" si="1"/>
        <v/>
      </c>
      <c r="J45" s="3" t="str">
        <f t="shared" si="2"/>
        <v/>
      </c>
      <c r="K45" s="3" t="str">
        <f t="shared" si="3"/>
        <v/>
      </c>
    </row>
    <row r="46" spans="1:11">
      <c r="A46" s="3" t="str">
        <f>IF(LEN(Sheet1!C43)&lt;1,"",IF(LEN(Sheet1!C43)&gt;1,"Q","A"))</f>
        <v/>
      </c>
      <c r="B46" s="3" t="str">
        <f>IF(LEN(A46)&lt;1,"",Sheet1!P43)</f>
        <v/>
      </c>
      <c r="C46" s="3" t="str">
        <f>IF(LEN(A46)&lt;1,"",Sheet1!X43)</f>
        <v/>
      </c>
      <c r="E46" s="3" t="str">
        <f>IF(LEN(A46)&lt;1,"",Sheet1!M43)</f>
        <v/>
      </c>
      <c r="F46" s="3" t="str">
        <f>IF(ISBLANK(A46),"",Sheet1!N43)</f>
        <v/>
      </c>
      <c r="G46" s="3" t="str">
        <f>IF(ISBLANK(A46),"",Sheet1!O43)</f>
        <v/>
      </c>
      <c r="H46" s="3" t="str">
        <f t="shared" si="0"/>
        <v/>
      </c>
      <c r="I46" s="3" t="str">
        <f t="shared" si="1"/>
        <v/>
      </c>
      <c r="J46" s="3" t="str">
        <f t="shared" si="2"/>
        <v/>
      </c>
      <c r="K46" s="3" t="str">
        <f t="shared" si="3"/>
        <v/>
      </c>
    </row>
    <row r="47" spans="1:11">
      <c r="A47" s="3" t="str">
        <f>IF(LEN(Sheet1!C44)&lt;1,"",IF(LEN(Sheet1!C44)&gt;1,"Q","A"))</f>
        <v/>
      </c>
      <c r="B47" s="3" t="str">
        <f>IF(LEN(A47)&lt;1,"",Sheet1!P44)</f>
        <v/>
      </c>
      <c r="C47" s="3" t="str">
        <f>IF(LEN(A47)&lt;1,"",Sheet1!X44)</f>
        <v/>
      </c>
      <c r="E47" s="3" t="str">
        <f>IF(LEN(A47)&lt;1,"",Sheet1!M44)</f>
        <v/>
      </c>
      <c r="F47" s="3" t="str">
        <f>IF(ISBLANK(A47),"",Sheet1!N44)</f>
        <v/>
      </c>
      <c r="G47" s="3" t="str">
        <f>IF(ISBLANK(A47),"",Sheet1!O44)</f>
        <v/>
      </c>
      <c r="H47" s="3" t="str">
        <f t="shared" si="0"/>
        <v/>
      </c>
      <c r="I47" s="3" t="str">
        <f t="shared" si="1"/>
        <v/>
      </c>
      <c r="J47" s="3" t="str">
        <f t="shared" si="2"/>
        <v/>
      </c>
      <c r="K47" s="3" t="str">
        <f t="shared" si="3"/>
        <v/>
      </c>
    </row>
    <row r="48" spans="1:11">
      <c r="A48" s="3" t="str">
        <f>IF(LEN(Sheet1!C45)&lt;1,"",IF(LEN(Sheet1!C45)&gt;1,"Q","A"))</f>
        <v/>
      </c>
      <c r="B48" s="3" t="str">
        <f>IF(LEN(A48)&lt;1,"",Sheet1!P45)</f>
        <v/>
      </c>
      <c r="C48" s="3" t="str">
        <f>IF(LEN(A48)&lt;1,"",Sheet1!X45)</f>
        <v/>
      </c>
      <c r="E48" s="3" t="str">
        <f>IF(LEN(A48)&lt;1,"",Sheet1!M45)</f>
        <v/>
      </c>
      <c r="F48" s="3" t="str">
        <f>IF(ISBLANK(A48),"",Sheet1!N45)</f>
        <v/>
      </c>
      <c r="G48" s="3" t="str">
        <f>IF(ISBLANK(A48),"",Sheet1!O45)</f>
        <v/>
      </c>
      <c r="H48" s="3" t="str">
        <f t="shared" si="0"/>
        <v/>
      </c>
      <c r="I48" s="3" t="str">
        <f t="shared" si="1"/>
        <v/>
      </c>
      <c r="J48" s="3" t="str">
        <f t="shared" si="2"/>
        <v/>
      </c>
      <c r="K48" s="3" t="str">
        <f t="shared" si="3"/>
        <v/>
      </c>
    </row>
    <row r="49" spans="1:11">
      <c r="A49" s="3" t="str">
        <f>IF(LEN(Sheet1!C46)&lt;1,"",IF(LEN(Sheet1!C46)&gt;1,"Q","A"))</f>
        <v/>
      </c>
      <c r="B49" s="3" t="str">
        <f>IF(LEN(A49)&lt;1,"",Sheet1!P46)</f>
        <v/>
      </c>
      <c r="C49" s="3" t="str">
        <f>IF(LEN(A49)&lt;1,"",Sheet1!X46)</f>
        <v/>
      </c>
      <c r="E49" s="3" t="str">
        <f>IF(LEN(A49)&lt;1,"",Sheet1!M46)</f>
        <v/>
      </c>
      <c r="F49" s="3" t="str">
        <f>IF(ISBLANK(A49),"",Sheet1!N46)</f>
        <v/>
      </c>
      <c r="G49" s="3" t="str">
        <f>IF(ISBLANK(A49),"",Sheet1!O46)</f>
        <v/>
      </c>
      <c r="H49" s="3" t="str">
        <f t="shared" si="0"/>
        <v/>
      </c>
      <c r="I49" s="3" t="str">
        <f t="shared" si="1"/>
        <v/>
      </c>
      <c r="J49" s="3" t="str">
        <f t="shared" si="2"/>
        <v/>
      </c>
      <c r="K49" s="3" t="str">
        <f t="shared" si="3"/>
        <v/>
      </c>
    </row>
    <row r="50" spans="1:11">
      <c r="A50" s="3" t="str">
        <f>IF(LEN(Sheet1!C47)&lt;1,"",IF(LEN(Sheet1!C47)&gt;1,"Q","A"))</f>
        <v/>
      </c>
      <c r="B50" s="3" t="str">
        <f>IF(LEN(A50)&lt;1,"",Sheet1!P47)</f>
        <v/>
      </c>
      <c r="C50" s="3" t="str">
        <f>IF(LEN(A50)&lt;1,"",Sheet1!X47)</f>
        <v/>
      </c>
      <c r="E50" s="3" t="str">
        <f>IF(LEN(A50)&lt;1,"",Sheet1!M47)</f>
        <v/>
      </c>
      <c r="F50" s="3" t="str">
        <f>IF(ISBLANK(A50),"",Sheet1!N47)</f>
        <v/>
      </c>
      <c r="G50" s="3" t="str">
        <f>IF(ISBLANK(A50),"",Sheet1!O47)</f>
        <v/>
      </c>
      <c r="H50" s="3" t="str">
        <f t="shared" si="0"/>
        <v/>
      </c>
      <c r="I50" s="3" t="str">
        <f t="shared" si="1"/>
        <v/>
      </c>
      <c r="J50" s="3" t="str">
        <f t="shared" si="2"/>
        <v/>
      </c>
      <c r="K50" s="3" t="str">
        <f t="shared" si="3"/>
        <v/>
      </c>
    </row>
    <row r="51" spans="1:11">
      <c r="A51" s="3" t="str">
        <f>IF(LEN(Sheet1!C48)&lt;1,"",IF(LEN(Sheet1!C48)&gt;1,"Q","A"))</f>
        <v/>
      </c>
      <c r="B51" s="3" t="str">
        <f>IF(LEN(A51)&lt;1,"",Sheet1!P48)</f>
        <v/>
      </c>
      <c r="C51" s="3" t="str">
        <f>IF(LEN(A51)&lt;1,"",Sheet1!X48)</f>
        <v/>
      </c>
      <c r="E51" s="3" t="str">
        <f>IF(LEN(A51)&lt;1,"",Sheet1!M48)</f>
        <v/>
      </c>
      <c r="F51" s="3" t="str">
        <f>IF(ISBLANK(A51),"",Sheet1!N48)</f>
        <v/>
      </c>
      <c r="G51" s="3" t="str">
        <f>IF(ISBLANK(A51),"",Sheet1!O48)</f>
        <v/>
      </c>
      <c r="H51" s="3" t="str">
        <f t="shared" si="0"/>
        <v/>
      </c>
      <c r="I51" s="3" t="str">
        <f t="shared" si="1"/>
        <v/>
      </c>
      <c r="J51" s="3" t="str">
        <f t="shared" si="2"/>
        <v/>
      </c>
      <c r="K51" s="3" t="str">
        <f t="shared" si="3"/>
        <v/>
      </c>
    </row>
    <row r="52" spans="1:11">
      <c r="A52" s="3" t="str">
        <f>IF(LEN(Sheet1!C49)&lt;1,"",IF(LEN(Sheet1!C49)&gt;1,"Q","A"))</f>
        <v/>
      </c>
      <c r="B52" s="3" t="str">
        <f>IF(LEN(A52)&lt;1,"",Sheet1!P49)</f>
        <v/>
      </c>
      <c r="C52" s="3" t="str">
        <f>IF(LEN(A52)&lt;1,"",Sheet1!X49)</f>
        <v/>
      </c>
      <c r="E52" s="3" t="str">
        <f>IF(LEN(A52)&lt;1,"",Sheet1!M49)</f>
        <v/>
      </c>
      <c r="F52" s="3" t="str">
        <f>IF(ISBLANK(A52),"",Sheet1!N49)</f>
        <v/>
      </c>
      <c r="G52" s="3" t="str">
        <f>IF(ISBLANK(A52),"",Sheet1!O49)</f>
        <v/>
      </c>
      <c r="H52" s="3" t="str">
        <f t="shared" si="0"/>
        <v/>
      </c>
      <c r="I52" s="3" t="str">
        <f t="shared" si="1"/>
        <v/>
      </c>
      <c r="J52" s="3" t="str">
        <f t="shared" si="2"/>
        <v/>
      </c>
      <c r="K52" s="3" t="str">
        <f t="shared" si="3"/>
        <v/>
      </c>
    </row>
    <row r="53" spans="1:11">
      <c r="A53" s="3" t="str">
        <f>IF(LEN(Sheet1!C50)&lt;1,"",IF(LEN(Sheet1!C50)&gt;1,"Q","A"))</f>
        <v/>
      </c>
      <c r="B53" s="3" t="str">
        <f>IF(LEN(A53)&lt;1,"",Sheet1!P50)</f>
        <v/>
      </c>
      <c r="C53" s="3" t="str">
        <f>IF(LEN(A53)&lt;1,"",Sheet1!X50)</f>
        <v/>
      </c>
      <c r="E53" s="3" t="str">
        <f>IF(LEN(A53)&lt;1,"",Sheet1!M50)</f>
        <v/>
      </c>
      <c r="F53" s="3" t="str">
        <f>IF(ISBLANK(A53),"",Sheet1!N50)</f>
        <v/>
      </c>
      <c r="G53" s="3" t="str">
        <f>IF(ISBLANK(A53),"",Sheet1!O50)</f>
        <v/>
      </c>
      <c r="H53" s="3" t="str">
        <f t="shared" si="0"/>
        <v/>
      </c>
      <c r="I53" s="3" t="str">
        <f t="shared" si="1"/>
        <v/>
      </c>
      <c r="J53" s="3" t="str">
        <f t="shared" si="2"/>
        <v/>
      </c>
      <c r="K53" s="3" t="str">
        <f t="shared" si="3"/>
        <v/>
      </c>
    </row>
    <row r="54" spans="1:11">
      <c r="A54" s="3" t="str">
        <f>IF(LEN(Sheet1!C51)&lt;1,"",IF(LEN(Sheet1!C51)&gt;1,"Q","A"))</f>
        <v/>
      </c>
      <c r="B54" s="3" t="str">
        <f>IF(LEN(A54)&lt;1,"",Sheet1!P51)</f>
        <v/>
      </c>
      <c r="C54" s="3" t="str">
        <f>IF(LEN(A54)&lt;1,"",Sheet1!X51)</f>
        <v/>
      </c>
      <c r="E54" s="3" t="str">
        <f>IF(LEN(A54)&lt;1,"",Sheet1!M51)</f>
        <v/>
      </c>
      <c r="F54" s="3" t="str">
        <f>IF(ISBLANK(A54),"",Sheet1!N51)</f>
        <v/>
      </c>
      <c r="G54" s="3" t="str">
        <f>IF(ISBLANK(A54),"",Sheet1!O51)</f>
        <v/>
      </c>
      <c r="H54" s="3" t="str">
        <f t="shared" si="0"/>
        <v/>
      </c>
      <c r="I54" s="3" t="str">
        <f t="shared" si="1"/>
        <v/>
      </c>
      <c r="J54" s="3" t="str">
        <f t="shared" si="2"/>
        <v/>
      </c>
      <c r="K54" s="3" t="str">
        <f t="shared" si="3"/>
        <v/>
      </c>
    </row>
    <row r="55" spans="1:11">
      <c r="A55" s="3" t="str">
        <f>IF(LEN(Sheet1!C52)&lt;1,"",IF(LEN(Sheet1!C52)&gt;1,"Q","A"))</f>
        <v/>
      </c>
      <c r="B55" s="3" t="str">
        <f>IF(LEN(A55)&lt;1,"",Sheet1!P52)</f>
        <v/>
      </c>
      <c r="C55" s="3" t="str">
        <f>IF(LEN(A55)&lt;1,"",Sheet1!X52)</f>
        <v/>
      </c>
      <c r="E55" s="3" t="str">
        <f>IF(LEN(A55)&lt;1,"",Sheet1!M52)</f>
        <v/>
      </c>
      <c r="F55" s="3" t="str">
        <f>IF(ISBLANK(A55),"",Sheet1!N52)</f>
        <v/>
      </c>
      <c r="G55" s="3" t="str">
        <f>IF(ISBLANK(A55),"",Sheet1!O52)</f>
        <v/>
      </c>
      <c r="H55" s="3" t="str">
        <f t="shared" si="0"/>
        <v/>
      </c>
      <c r="I55" s="3" t="str">
        <f t="shared" si="1"/>
        <v/>
      </c>
      <c r="J55" s="3" t="str">
        <f t="shared" si="2"/>
        <v/>
      </c>
      <c r="K55" s="3" t="str">
        <f t="shared" si="3"/>
        <v/>
      </c>
    </row>
    <row r="56" spans="1:11">
      <c r="A56" s="3" t="str">
        <f>IF(LEN(Sheet1!C53)&lt;1,"",IF(LEN(Sheet1!C53)&gt;1,"Q","A"))</f>
        <v/>
      </c>
      <c r="B56" s="3" t="str">
        <f>IF(LEN(A56)&lt;1,"",Sheet1!P53)</f>
        <v/>
      </c>
      <c r="C56" s="3" t="str">
        <f>IF(LEN(A56)&lt;1,"",Sheet1!X53)</f>
        <v/>
      </c>
      <c r="E56" s="3" t="str">
        <f>IF(LEN(A56)&lt;1,"",Sheet1!M53)</f>
        <v/>
      </c>
      <c r="F56" s="3" t="str">
        <f>IF(ISBLANK(A56),"",Sheet1!N53)</f>
        <v/>
      </c>
      <c r="G56" s="3" t="str">
        <f>IF(ISBLANK(A56),"",Sheet1!O53)</f>
        <v/>
      </c>
      <c r="H56" s="3" t="str">
        <f t="shared" si="0"/>
        <v/>
      </c>
      <c r="I56" s="3" t="str">
        <f t="shared" si="1"/>
        <v/>
      </c>
      <c r="J56" s="3" t="str">
        <f t="shared" si="2"/>
        <v/>
      </c>
      <c r="K56" s="3" t="str">
        <f t="shared" si="3"/>
        <v/>
      </c>
    </row>
    <row r="57" spans="1:11">
      <c r="A57" s="3" t="str">
        <f>IF(LEN(Sheet1!C54)&lt;1,"",IF(LEN(Sheet1!C54)&gt;1,"Q","A"))</f>
        <v/>
      </c>
      <c r="B57" s="3" t="str">
        <f>IF(LEN(A57)&lt;1,"",Sheet1!P54)</f>
        <v/>
      </c>
      <c r="C57" s="3" t="str">
        <f>IF(LEN(A57)&lt;1,"",Sheet1!X54)</f>
        <v/>
      </c>
      <c r="E57" s="3" t="str">
        <f>IF(LEN(A57)&lt;1,"",Sheet1!M54)</f>
        <v/>
      </c>
      <c r="F57" s="3" t="str">
        <f>IF(ISBLANK(A57),"",Sheet1!N54)</f>
        <v/>
      </c>
      <c r="G57" s="3" t="str">
        <f>IF(ISBLANK(A57),"",Sheet1!O54)</f>
        <v/>
      </c>
      <c r="H57" s="3" t="str">
        <f t="shared" si="0"/>
        <v/>
      </c>
      <c r="I57" s="3" t="str">
        <f t="shared" si="1"/>
        <v/>
      </c>
      <c r="J57" s="3" t="str">
        <f t="shared" si="2"/>
        <v/>
      </c>
      <c r="K57" s="3" t="str">
        <f t="shared" si="3"/>
        <v/>
      </c>
    </row>
    <row r="58" spans="1:11">
      <c r="A58" s="3" t="str">
        <f>IF(LEN(Sheet1!C55)&lt;1,"",IF(LEN(Sheet1!C55)&gt;1,"Q","A"))</f>
        <v/>
      </c>
      <c r="B58" s="3" t="str">
        <f>IF(LEN(A58)&lt;1,"",Sheet1!P55)</f>
        <v/>
      </c>
      <c r="C58" s="3" t="str">
        <f>IF(LEN(A58)&lt;1,"",Sheet1!X55)</f>
        <v/>
      </c>
      <c r="E58" s="3" t="str">
        <f>IF(LEN(A58)&lt;1,"",Sheet1!M55)</f>
        <v/>
      </c>
      <c r="F58" s="3" t="str">
        <f>IF(ISBLANK(A58),"",Sheet1!N55)</f>
        <v/>
      </c>
      <c r="G58" s="3" t="str">
        <f>IF(ISBLANK(A58),"",Sheet1!O55)</f>
        <v/>
      </c>
      <c r="H58" s="3" t="str">
        <f t="shared" si="0"/>
        <v/>
      </c>
      <c r="I58" s="3" t="str">
        <f t="shared" si="1"/>
        <v/>
      </c>
      <c r="J58" s="3" t="str">
        <f t="shared" si="2"/>
        <v/>
      </c>
      <c r="K58" s="3" t="str">
        <f t="shared" si="3"/>
        <v/>
      </c>
    </row>
    <row r="59" spans="1:11">
      <c r="A59" s="3" t="str">
        <f>IF(LEN(Sheet1!C56)&lt;1,"",IF(LEN(Sheet1!C56)&gt;1,"Q","A"))</f>
        <v/>
      </c>
      <c r="B59" s="3" t="str">
        <f>IF(LEN(A59)&lt;1,"",Sheet1!P56)</f>
        <v/>
      </c>
      <c r="C59" s="3" t="str">
        <f>IF(LEN(A59)&lt;1,"",Sheet1!X56)</f>
        <v/>
      </c>
      <c r="E59" s="3" t="str">
        <f>IF(LEN(A59)&lt;1,"",Sheet1!M56)</f>
        <v/>
      </c>
      <c r="F59" s="3" t="str">
        <f>IF(ISBLANK(A59),"",Sheet1!N56)</f>
        <v/>
      </c>
      <c r="G59" s="3" t="str">
        <f>IF(ISBLANK(A59),"",Sheet1!O56)</f>
        <v/>
      </c>
      <c r="H59" s="3" t="str">
        <f t="shared" si="0"/>
        <v/>
      </c>
      <c r="I59" s="3" t="str">
        <f t="shared" si="1"/>
        <v/>
      </c>
      <c r="J59" s="3" t="str">
        <f t="shared" si="2"/>
        <v/>
      </c>
      <c r="K59" s="3" t="str">
        <f t="shared" si="3"/>
        <v/>
      </c>
    </row>
    <row r="60" spans="1:11">
      <c r="A60" s="3" t="str">
        <f>IF(LEN(Sheet1!C57)&lt;1,"",IF(LEN(Sheet1!C57)&gt;1,"Q","A"))</f>
        <v/>
      </c>
      <c r="B60" s="3" t="str">
        <f>IF(LEN(A60)&lt;1,"",Sheet1!P57)</f>
        <v/>
      </c>
      <c r="C60" s="3" t="str">
        <f>IF(LEN(A60)&lt;1,"",Sheet1!X57)</f>
        <v/>
      </c>
      <c r="E60" s="3" t="str">
        <f>IF(LEN(A60)&lt;1,"",Sheet1!M57)</f>
        <v/>
      </c>
      <c r="F60" s="3" t="str">
        <f>IF(ISBLANK(A60),"",Sheet1!N57)</f>
        <v/>
      </c>
      <c r="G60" s="3" t="str">
        <f>IF(ISBLANK(A60),"",Sheet1!O57)</f>
        <v/>
      </c>
      <c r="H60" s="3" t="str">
        <f t="shared" si="0"/>
        <v/>
      </c>
      <c r="I60" s="3" t="str">
        <f t="shared" si="1"/>
        <v/>
      </c>
      <c r="J60" s="3" t="str">
        <f t="shared" si="2"/>
        <v/>
      </c>
      <c r="K60" s="3" t="str">
        <f t="shared" si="3"/>
        <v/>
      </c>
    </row>
    <row r="61" spans="1:11">
      <c r="A61" s="3" t="str">
        <f>IF(LEN(Sheet1!C58)&lt;1,"",IF(LEN(Sheet1!C58)&gt;1,"Q","A"))</f>
        <v/>
      </c>
      <c r="B61" s="3" t="str">
        <f>IF(LEN(A61)&lt;1,"",Sheet1!P58)</f>
        <v/>
      </c>
      <c r="C61" s="3" t="str">
        <f>IF(LEN(A61)&lt;1,"",Sheet1!X58)</f>
        <v/>
      </c>
      <c r="E61" s="3" t="str">
        <f>IF(LEN(A61)&lt;1,"",Sheet1!M58)</f>
        <v/>
      </c>
      <c r="F61" s="3" t="str">
        <f>IF(ISBLANK(A61),"",Sheet1!N58)</f>
        <v/>
      </c>
      <c r="G61" s="3" t="str">
        <f>IF(ISBLANK(A61),"",Sheet1!O58)</f>
        <v/>
      </c>
      <c r="H61" s="3" t="str">
        <f t="shared" si="0"/>
        <v/>
      </c>
      <c r="I61" s="3" t="str">
        <f t="shared" si="1"/>
        <v/>
      </c>
      <c r="J61" s="3" t="str">
        <f t="shared" si="2"/>
        <v/>
      </c>
      <c r="K61" s="3" t="str">
        <f t="shared" si="3"/>
        <v/>
      </c>
    </row>
    <row r="62" spans="1:11">
      <c r="A62" s="3" t="str">
        <f>IF(LEN(Sheet1!C59)&lt;1,"",IF(LEN(Sheet1!C59)&gt;1,"Q","A"))</f>
        <v/>
      </c>
      <c r="B62" s="3" t="str">
        <f>IF(LEN(A62)&lt;1,"",Sheet1!P59)</f>
        <v/>
      </c>
      <c r="C62" s="3" t="str">
        <f>IF(LEN(A62)&lt;1,"",Sheet1!X59)</f>
        <v/>
      </c>
      <c r="E62" s="3" t="str">
        <f>IF(LEN(A62)&lt;1,"",Sheet1!M59)</f>
        <v/>
      </c>
      <c r="F62" s="3" t="str">
        <f>IF(ISBLANK(A62),"",Sheet1!N59)</f>
        <v/>
      </c>
      <c r="G62" s="3" t="str">
        <f>IF(ISBLANK(A62),"",Sheet1!O59)</f>
        <v/>
      </c>
      <c r="H62" s="3" t="str">
        <f t="shared" si="0"/>
        <v/>
      </c>
      <c r="I62" s="3" t="str">
        <f t="shared" si="1"/>
        <v/>
      </c>
      <c r="J62" s="3" t="str">
        <f t="shared" si="2"/>
        <v/>
      </c>
      <c r="K62" s="3" t="str">
        <f t="shared" si="3"/>
        <v/>
      </c>
    </row>
    <row r="63" spans="1:11">
      <c r="A63" s="3" t="str">
        <f>IF(LEN(Sheet1!C60)&lt;1,"",IF(LEN(Sheet1!C60)&gt;1,"Q","A"))</f>
        <v/>
      </c>
      <c r="B63" s="3" t="str">
        <f>IF(LEN(A63)&lt;1,"",Sheet1!P60)</f>
        <v/>
      </c>
      <c r="C63" s="3" t="str">
        <f>IF(LEN(A63)&lt;1,"",Sheet1!X60)</f>
        <v/>
      </c>
      <c r="E63" s="3" t="str">
        <f>IF(LEN(A63)&lt;1,"",Sheet1!M60)</f>
        <v/>
      </c>
      <c r="F63" s="3" t="str">
        <f>IF(ISBLANK(A63),"",Sheet1!N60)</f>
        <v/>
      </c>
      <c r="G63" s="3" t="str">
        <f>IF(ISBLANK(A63),"",Sheet1!O60)</f>
        <v/>
      </c>
      <c r="H63" s="3" t="str">
        <f t="shared" si="0"/>
        <v/>
      </c>
      <c r="I63" s="3" t="str">
        <f t="shared" si="1"/>
        <v/>
      </c>
      <c r="J63" s="3" t="str">
        <f t="shared" si="2"/>
        <v/>
      </c>
      <c r="K63" s="3" t="str">
        <f t="shared" si="3"/>
        <v/>
      </c>
    </row>
    <row r="64" spans="1:11">
      <c r="A64" s="3" t="str">
        <f>IF(LEN(Sheet1!C61)&lt;1,"",IF(LEN(Sheet1!C61)&gt;1,"Q","A"))</f>
        <v/>
      </c>
      <c r="B64" s="3" t="str">
        <f>IF(LEN(A64)&lt;1,"",Sheet1!P61)</f>
        <v/>
      </c>
      <c r="C64" s="3" t="str">
        <f>IF(LEN(A64)&lt;1,"",Sheet1!X61)</f>
        <v/>
      </c>
      <c r="E64" s="3" t="str">
        <f>IF(LEN(A64)&lt;1,"",Sheet1!M61)</f>
        <v/>
      </c>
      <c r="F64" s="3" t="str">
        <f>IF(ISBLANK(A64),"",Sheet1!N61)</f>
        <v/>
      </c>
      <c r="G64" s="3" t="str">
        <f>IF(ISBLANK(A64),"",Sheet1!O61)</f>
        <v/>
      </c>
      <c r="H64" s="3" t="str">
        <f t="shared" si="0"/>
        <v/>
      </c>
      <c r="I64" s="3" t="str">
        <f t="shared" si="1"/>
        <v/>
      </c>
      <c r="J64" s="3" t="str">
        <f t="shared" si="2"/>
        <v/>
      </c>
      <c r="K64" s="3" t="str">
        <f t="shared" si="3"/>
        <v/>
      </c>
    </row>
    <row r="65" spans="1:11">
      <c r="A65" s="3" t="str">
        <f>IF(LEN(Sheet1!C62)&lt;1,"",IF(LEN(Sheet1!C62)&gt;1,"Q","A"))</f>
        <v/>
      </c>
      <c r="B65" s="3" t="str">
        <f>IF(LEN(A65)&lt;1,"",Sheet1!P62)</f>
        <v/>
      </c>
      <c r="C65" s="3" t="str">
        <f>IF(LEN(A65)&lt;1,"",Sheet1!X62)</f>
        <v/>
      </c>
      <c r="E65" s="3" t="str">
        <f>IF(LEN(A65)&lt;1,"",Sheet1!M62)</f>
        <v/>
      </c>
      <c r="F65" s="3" t="str">
        <f>IF(ISBLANK(A65),"",Sheet1!N62)</f>
        <v/>
      </c>
      <c r="G65" s="3" t="str">
        <f>IF(ISBLANK(A65),"",Sheet1!O62)</f>
        <v/>
      </c>
      <c r="H65" s="3" t="str">
        <f t="shared" si="0"/>
        <v/>
      </c>
      <c r="I65" s="3" t="str">
        <f t="shared" si="1"/>
        <v/>
      </c>
      <c r="J65" s="3" t="str">
        <f t="shared" si="2"/>
        <v/>
      </c>
      <c r="K65" s="3" t="str">
        <f t="shared" si="3"/>
        <v/>
      </c>
    </row>
    <row r="66" spans="1:11">
      <c r="A66" s="3" t="str">
        <f>IF(LEN(Sheet1!C63)&lt;1,"",IF(LEN(Sheet1!C63)&gt;1,"Q","A"))</f>
        <v/>
      </c>
      <c r="B66" s="3" t="str">
        <f>IF(LEN(A66)&lt;1,"",Sheet1!P63)</f>
        <v/>
      </c>
      <c r="C66" s="3" t="str">
        <f>IF(LEN(A66)&lt;1,"",Sheet1!X63)</f>
        <v/>
      </c>
      <c r="E66" s="3" t="str">
        <f>IF(LEN(A66)&lt;1,"",Sheet1!M63)</f>
        <v/>
      </c>
      <c r="F66" s="3" t="str">
        <f>IF(ISBLANK(A66),"",Sheet1!N63)</f>
        <v/>
      </c>
      <c r="G66" s="3" t="str">
        <f>IF(ISBLANK(A66),"",Sheet1!O63)</f>
        <v/>
      </c>
      <c r="H66" s="3" t="str">
        <f t="shared" si="0"/>
        <v/>
      </c>
      <c r="I66" s="3" t="str">
        <f t="shared" si="1"/>
        <v/>
      </c>
      <c r="J66" s="3" t="str">
        <f t="shared" si="2"/>
        <v/>
      </c>
      <c r="K66" s="3" t="str">
        <f t="shared" si="3"/>
        <v/>
      </c>
    </row>
    <row r="67" spans="1:11">
      <c r="A67" s="3" t="str">
        <f>IF(LEN(Sheet1!C64)&lt;1,"",IF(LEN(Sheet1!C64)&gt;1,"Q","A"))</f>
        <v/>
      </c>
      <c r="B67" s="3" t="str">
        <f>IF(LEN(A67)&lt;1,"",Sheet1!P64)</f>
        <v/>
      </c>
      <c r="C67" s="3" t="str">
        <f>IF(LEN(A67)&lt;1,"",Sheet1!X64)</f>
        <v/>
      </c>
      <c r="E67" s="3" t="str">
        <f>IF(LEN(A67)&lt;1,"",Sheet1!M64)</f>
        <v/>
      </c>
      <c r="F67" s="3" t="str">
        <f>IF(ISBLANK(A67),"",Sheet1!N64)</f>
        <v/>
      </c>
      <c r="G67" s="3" t="str">
        <f>IF(ISBLANK(A67),"",Sheet1!O64)</f>
        <v/>
      </c>
      <c r="H67" s="3" t="str">
        <f t="shared" si="0"/>
        <v/>
      </c>
      <c r="I67" s="3" t="str">
        <f t="shared" si="1"/>
        <v/>
      </c>
      <c r="J67" s="3" t="str">
        <f t="shared" si="2"/>
        <v/>
      </c>
      <c r="K67" s="3" t="str">
        <f t="shared" si="3"/>
        <v/>
      </c>
    </row>
    <row r="68" spans="1:11">
      <c r="A68" s="3" t="str">
        <f>IF(LEN(Sheet1!C65)&lt;1,"",IF(LEN(Sheet1!C65)&gt;1,"Q","A"))</f>
        <v/>
      </c>
      <c r="B68" s="3" t="str">
        <f>IF(LEN(A68)&lt;1,"",Sheet1!P65)</f>
        <v/>
      </c>
      <c r="C68" s="3" t="str">
        <f>IF(LEN(A68)&lt;1,"",Sheet1!X65)</f>
        <v/>
      </c>
      <c r="E68" s="3" t="str">
        <f>IF(LEN(A68)&lt;1,"",Sheet1!M65)</f>
        <v/>
      </c>
      <c r="F68" s="3" t="str">
        <f>IF(ISBLANK(A68),"",Sheet1!N65)</f>
        <v/>
      </c>
      <c r="G68" s="3" t="str">
        <f>IF(ISBLANK(A68),"",Sheet1!O65)</f>
        <v/>
      </c>
      <c r="H68" s="3" t="str">
        <f t="shared" si="0"/>
        <v/>
      </c>
      <c r="I68" s="3" t="str">
        <f t="shared" si="1"/>
        <v/>
      </c>
      <c r="J68" s="3" t="str">
        <f t="shared" si="2"/>
        <v/>
      </c>
      <c r="K68" s="3" t="str">
        <f t="shared" si="3"/>
        <v/>
      </c>
    </row>
    <row r="69" spans="1:11">
      <c r="A69" s="3" t="str">
        <f>IF(LEN(Sheet1!C66)&lt;1,"",IF(LEN(Sheet1!C66)&gt;1,"Q","A"))</f>
        <v/>
      </c>
      <c r="B69" s="3" t="str">
        <f>IF(LEN(A69)&lt;1,"",Sheet1!P66)</f>
        <v/>
      </c>
      <c r="C69" s="3" t="str">
        <f>IF(LEN(A69)&lt;1,"",Sheet1!X66)</f>
        <v/>
      </c>
      <c r="E69" s="3" t="str">
        <f>IF(LEN(A69)&lt;1,"",Sheet1!M66)</f>
        <v/>
      </c>
      <c r="F69" s="3" t="str">
        <f>IF(ISBLANK(A69),"",Sheet1!N66)</f>
        <v/>
      </c>
      <c r="G69" s="3" t="str">
        <f>IF(ISBLANK(A69),"",Sheet1!O66)</f>
        <v/>
      </c>
      <c r="H69" s="3" t="str">
        <f t="shared" si="0"/>
        <v/>
      </c>
      <c r="I69" s="3" t="str">
        <f t="shared" si="1"/>
        <v/>
      </c>
      <c r="J69" s="3" t="str">
        <f t="shared" si="2"/>
        <v/>
      </c>
      <c r="K69" s="3" t="str">
        <f t="shared" si="3"/>
        <v/>
      </c>
    </row>
    <row r="70" spans="1:11">
      <c r="A70" s="3" t="str">
        <f>IF(LEN(Sheet1!C67)&lt;1,"",IF(LEN(Sheet1!C67)&gt;1,"Q","A"))</f>
        <v/>
      </c>
      <c r="B70" s="3" t="str">
        <f>IF(LEN(A70)&lt;1,"",Sheet1!P67)</f>
        <v/>
      </c>
      <c r="C70" s="3" t="str">
        <f>IF(LEN(A70)&lt;1,"",Sheet1!X67)</f>
        <v/>
      </c>
      <c r="E70" s="3" t="str">
        <f>IF(LEN(A70)&lt;1,"",Sheet1!M67)</f>
        <v/>
      </c>
      <c r="F70" s="3" t="str">
        <f>IF(ISBLANK(A70),"",Sheet1!N67)</f>
        <v/>
      </c>
      <c r="G70" s="3" t="str">
        <f>IF(ISBLANK(A70),"",Sheet1!O67)</f>
        <v/>
      </c>
      <c r="H70" s="3" t="str">
        <f t="shared" si="0"/>
        <v/>
      </c>
      <c r="I70" s="3" t="str">
        <f t="shared" si="1"/>
        <v/>
      </c>
      <c r="J70" s="3" t="str">
        <f t="shared" si="2"/>
        <v/>
      </c>
      <c r="K70" s="3" t="str">
        <f t="shared" si="3"/>
        <v/>
      </c>
    </row>
    <row r="71" spans="1:11">
      <c r="A71" s="3" t="str">
        <f>IF(LEN(Sheet1!C68)&lt;1,"",IF(LEN(Sheet1!C68)&gt;1,"Q","A"))</f>
        <v/>
      </c>
      <c r="B71" s="3" t="str">
        <f>IF(LEN(A71)&lt;1,"",Sheet1!P68)</f>
        <v/>
      </c>
      <c r="C71" s="3" t="str">
        <f>IF(LEN(A71)&lt;1,"",Sheet1!X68)</f>
        <v/>
      </c>
      <c r="E71" s="3" t="str">
        <f>IF(LEN(A71)&lt;1,"",Sheet1!M68)</f>
        <v/>
      </c>
      <c r="F71" s="3" t="str">
        <f>IF(ISBLANK(A71),"",Sheet1!N68)</f>
        <v/>
      </c>
      <c r="G71" s="3" t="str">
        <f>IF(ISBLANK(A71),"",Sheet1!O68)</f>
        <v/>
      </c>
      <c r="H71" s="3" t="str">
        <f t="shared" si="0"/>
        <v/>
      </c>
      <c r="I71" s="3" t="str">
        <f t="shared" si="1"/>
        <v/>
      </c>
      <c r="J71" s="3" t="str">
        <f t="shared" si="2"/>
        <v/>
      </c>
      <c r="K71" s="3" t="str">
        <f t="shared" si="3"/>
        <v/>
      </c>
    </row>
    <row r="72" spans="1:11">
      <c r="A72" s="3" t="str">
        <f>IF(LEN(Sheet1!C69)&lt;1,"",IF(LEN(Sheet1!C69)&gt;1,"Q","A"))</f>
        <v/>
      </c>
      <c r="B72" s="3" t="str">
        <f>IF(LEN(A72)&lt;1,"",Sheet1!P69)</f>
        <v/>
      </c>
      <c r="C72" s="3" t="str">
        <f>IF(LEN(A72)&lt;1,"",Sheet1!X69)</f>
        <v/>
      </c>
      <c r="E72" s="3" t="str">
        <f>IF(LEN(A72)&lt;1,"",Sheet1!M69)</f>
        <v/>
      </c>
      <c r="F72" s="3" t="str">
        <f>IF(ISBLANK(A72),"",Sheet1!N69)</f>
        <v/>
      </c>
      <c r="G72" s="3" t="str">
        <f>IF(ISBLANK(A72),"",Sheet1!O69)</f>
        <v/>
      </c>
      <c r="H72" s="3" t="str">
        <f t="shared" si="0"/>
        <v/>
      </c>
      <c r="I72" s="3" t="str">
        <f t="shared" si="1"/>
        <v/>
      </c>
      <c r="J72" s="3" t="str">
        <f t="shared" si="2"/>
        <v/>
      </c>
      <c r="K72" s="3" t="str">
        <f t="shared" si="3"/>
        <v/>
      </c>
    </row>
    <row r="73" spans="1:11">
      <c r="A73" s="3" t="str">
        <f>IF(LEN(Sheet1!C70)&lt;1,"",IF(LEN(Sheet1!C70)&gt;1,"Q","A"))</f>
        <v/>
      </c>
      <c r="B73" s="3" t="str">
        <f>IF(LEN(A73)&lt;1,"",Sheet1!P70)</f>
        <v/>
      </c>
      <c r="C73" s="3" t="str">
        <f>IF(LEN(A73)&lt;1,"",Sheet1!X70)</f>
        <v/>
      </c>
      <c r="E73" s="3" t="str">
        <f>IF(LEN(A73)&lt;1,"",Sheet1!M70)</f>
        <v/>
      </c>
      <c r="F73" s="3" t="str">
        <f>IF(ISBLANK(A73),"",Sheet1!N70)</f>
        <v/>
      </c>
      <c r="G73" s="3" t="str">
        <f>IF(ISBLANK(A73),"",Sheet1!O70)</f>
        <v/>
      </c>
      <c r="H73" s="3" t="str">
        <f t="shared" ref="H73:H136" si="4">IF(ISBLANK(A73),"",IF(A73="Q",0,""))</f>
        <v/>
      </c>
      <c r="I73" s="3" t="str">
        <f t="shared" ref="I73:I136" si="5">IF(ISBLANK(A73),"",IF(A73="Q",0,""))</f>
        <v/>
      </c>
      <c r="J73" s="3" t="str">
        <f t="shared" ref="J73:J136" si="6">IF(ISBLANK(A73),"",IF(A73="Q",0,""))</f>
        <v/>
      </c>
      <c r="K73" s="3" t="str">
        <f t="shared" ref="K73:K136" si="7">IF(ISBLANK(A73),"",IF(A73="Q",0,""))</f>
        <v/>
      </c>
    </row>
    <row r="74" spans="1:11">
      <c r="A74" s="3" t="str">
        <f>IF(LEN(Sheet1!C71)&lt;1,"",IF(LEN(Sheet1!C71)&gt;1,"Q","A"))</f>
        <v/>
      </c>
      <c r="B74" s="3" t="str">
        <f>IF(LEN(A74)&lt;1,"",Sheet1!P71)</f>
        <v/>
      </c>
      <c r="C74" s="3" t="str">
        <f>IF(LEN(A74)&lt;1,"",Sheet1!X71)</f>
        <v/>
      </c>
      <c r="E74" s="3" t="str">
        <f>IF(LEN(A74)&lt;1,"",Sheet1!M71)</f>
        <v/>
      </c>
      <c r="F74" s="3" t="str">
        <f>IF(ISBLANK(A74),"",Sheet1!N71)</f>
        <v/>
      </c>
      <c r="G74" s="3" t="str">
        <f>IF(ISBLANK(A74),"",Sheet1!O71)</f>
        <v/>
      </c>
      <c r="H74" s="3" t="str">
        <f t="shared" si="4"/>
        <v/>
      </c>
      <c r="I74" s="3" t="str">
        <f t="shared" si="5"/>
        <v/>
      </c>
      <c r="J74" s="3" t="str">
        <f t="shared" si="6"/>
        <v/>
      </c>
      <c r="K74" s="3" t="str">
        <f t="shared" si="7"/>
        <v/>
      </c>
    </row>
    <row r="75" spans="1:11">
      <c r="A75" s="3" t="str">
        <f>IF(LEN(Sheet1!C72)&lt;1,"",IF(LEN(Sheet1!C72)&gt;1,"Q","A"))</f>
        <v/>
      </c>
      <c r="B75" s="3" t="str">
        <f>IF(LEN(A75)&lt;1,"",Sheet1!P72)</f>
        <v/>
      </c>
      <c r="C75" s="3" t="str">
        <f>IF(LEN(A75)&lt;1,"",Sheet1!X72)</f>
        <v/>
      </c>
      <c r="E75" s="3" t="str">
        <f>IF(LEN(A75)&lt;1,"",Sheet1!M72)</f>
        <v/>
      </c>
      <c r="F75" s="3" t="str">
        <f>IF(ISBLANK(A75),"",Sheet1!N72)</f>
        <v/>
      </c>
      <c r="G75" s="3" t="str">
        <f>IF(ISBLANK(A75),"",Sheet1!O72)</f>
        <v/>
      </c>
      <c r="H75" s="3" t="str">
        <f t="shared" si="4"/>
        <v/>
      </c>
      <c r="I75" s="3" t="str">
        <f t="shared" si="5"/>
        <v/>
      </c>
      <c r="J75" s="3" t="str">
        <f t="shared" si="6"/>
        <v/>
      </c>
      <c r="K75" s="3" t="str">
        <f t="shared" si="7"/>
        <v/>
      </c>
    </row>
    <row r="76" spans="1:11">
      <c r="A76" s="3" t="str">
        <f>IF(LEN(Sheet1!C73)&lt;1,"",IF(LEN(Sheet1!C73)&gt;1,"Q","A"))</f>
        <v/>
      </c>
      <c r="B76" s="3" t="str">
        <f>IF(LEN(A76)&lt;1,"",Sheet1!P73)</f>
        <v/>
      </c>
      <c r="C76" s="3" t="str">
        <f>IF(LEN(A76)&lt;1,"",Sheet1!X73)</f>
        <v/>
      </c>
      <c r="E76" s="3" t="str">
        <f>IF(LEN(A76)&lt;1,"",Sheet1!M73)</f>
        <v/>
      </c>
      <c r="F76" s="3" t="str">
        <f>IF(ISBLANK(A76),"",Sheet1!N73)</f>
        <v/>
      </c>
      <c r="G76" s="3" t="str">
        <f>IF(ISBLANK(A76),"",Sheet1!O73)</f>
        <v/>
      </c>
      <c r="H76" s="3" t="str">
        <f t="shared" si="4"/>
        <v/>
      </c>
      <c r="I76" s="3" t="str">
        <f t="shared" si="5"/>
        <v/>
      </c>
      <c r="J76" s="3" t="str">
        <f t="shared" si="6"/>
        <v/>
      </c>
      <c r="K76" s="3" t="str">
        <f t="shared" si="7"/>
        <v/>
      </c>
    </row>
    <row r="77" spans="1:11">
      <c r="A77" s="3" t="str">
        <f>IF(LEN(Sheet1!C74)&lt;1,"",IF(LEN(Sheet1!C74)&gt;1,"Q","A"))</f>
        <v/>
      </c>
      <c r="B77" s="3" t="str">
        <f>IF(LEN(A77)&lt;1,"",Sheet1!P74)</f>
        <v/>
      </c>
      <c r="C77" s="3" t="str">
        <f>IF(LEN(A77)&lt;1,"",Sheet1!X74)</f>
        <v/>
      </c>
      <c r="E77" s="3" t="str">
        <f>IF(LEN(A77)&lt;1,"",Sheet1!M74)</f>
        <v/>
      </c>
      <c r="F77" s="3" t="str">
        <f>IF(ISBLANK(A77),"",Sheet1!N74)</f>
        <v/>
      </c>
      <c r="G77" s="3" t="str">
        <f>IF(ISBLANK(A77),"",Sheet1!O74)</f>
        <v/>
      </c>
      <c r="H77" s="3" t="str">
        <f t="shared" si="4"/>
        <v/>
      </c>
      <c r="I77" s="3" t="str">
        <f t="shared" si="5"/>
        <v/>
      </c>
      <c r="J77" s="3" t="str">
        <f t="shared" si="6"/>
        <v/>
      </c>
      <c r="K77" s="3" t="str">
        <f t="shared" si="7"/>
        <v/>
      </c>
    </row>
    <row r="78" spans="1:11">
      <c r="A78" s="3" t="str">
        <f>IF(LEN(Sheet1!C75)&lt;1,"",IF(LEN(Sheet1!C75)&gt;1,"Q","A"))</f>
        <v/>
      </c>
      <c r="B78" s="3" t="str">
        <f>IF(LEN(A78)&lt;1,"",Sheet1!P75)</f>
        <v/>
      </c>
      <c r="C78" s="3" t="str">
        <f>IF(LEN(A78)&lt;1,"",Sheet1!X75)</f>
        <v/>
      </c>
      <c r="E78" s="3" t="str">
        <f>IF(LEN(A78)&lt;1,"",Sheet1!M75)</f>
        <v/>
      </c>
      <c r="F78" s="3" t="str">
        <f>IF(ISBLANK(A78),"",Sheet1!N75)</f>
        <v/>
      </c>
      <c r="G78" s="3" t="str">
        <f>IF(ISBLANK(A78),"",Sheet1!O75)</f>
        <v/>
      </c>
      <c r="H78" s="3" t="str">
        <f t="shared" si="4"/>
        <v/>
      </c>
      <c r="I78" s="3" t="str">
        <f t="shared" si="5"/>
        <v/>
      </c>
      <c r="J78" s="3" t="str">
        <f t="shared" si="6"/>
        <v/>
      </c>
      <c r="K78" s="3" t="str">
        <f t="shared" si="7"/>
        <v/>
      </c>
    </row>
    <row r="79" spans="1:11">
      <c r="A79" s="3" t="str">
        <f>IF(LEN(Sheet1!C76)&lt;1,"",IF(LEN(Sheet1!C76)&gt;1,"Q","A"))</f>
        <v/>
      </c>
      <c r="B79" s="3" t="str">
        <f>IF(LEN(A79)&lt;1,"",Sheet1!P76)</f>
        <v/>
      </c>
      <c r="C79" s="3" t="str">
        <f>IF(LEN(A79)&lt;1,"",Sheet1!X76)</f>
        <v/>
      </c>
      <c r="E79" s="3" t="str">
        <f>IF(LEN(A79)&lt;1,"",Sheet1!M76)</f>
        <v/>
      </c>
      <c r="F79" s="3" t="str">
        <f>IF(ISBLANK(A79),"",Sheet1!N76)</f>
        <v/>
      </c>
      <c r="G79" s="3" t="str">
        <f>IF(ISBLANK(A79),"",Sheet1!O76)</f>
        <v/>
      </c>
      <c r="H79" s="3" t="str">
        <f t="shared" si="4"/>
        <v/>
      </c>
      <c r="I79" s="3" t="str">
        <f t="shared" si="5"/>
        <v/>
      </c>
      <c r="J79" s="3" t="str">
        <f t="shared" si="6"/>
        <v/>
      </c>
      <c r="K79" s="3" t="str">
        <f t="shared" si="7"/>
        <v/>
      </c>
    </row>
    <row r="80" spans="1:11">
      <c r="A80" s="3" t="str">
        <f>IF(LEN(Sheet1!C77)&lt;1,"",IF(LEN(Sheet1!C77)&gt;1,"Q","A"))</f>
        <v/>
      </c>
      <c r="B80" s="3" t="str">
        <f>IF(LEN(A80)&lt;1,"",Sheet1!P77)</f>
        <v/>
      </c>
      <c r="C80" s="3" t="str">
        <f>IF(LEN(A80)&lt;1,"",Sheet1!X77)</f>
        <v/>
      </c>
      <c r="E80" s="3" t="str">
        <f>IF(LEN(A80)&lt;1,"",Sheet1!M77)</f>
        <v/>
      </c>
      <c r="F80" s="3" t="str">
        <f>IF(ISBLANK(A80),"",Sheet1!N77)</f>
        <v/>
      </c>
      <c r="G80" s="3" t="str">
        <f>IF(ISBLANK(A80),"",Sheet1!O77)</f>
        <v/>
      </c>
      <c r="H80" s="3" t="str">
        <f t="shared" si="4"/>
        <v/>
      </c>
      <c r="I80" s="3" t="str">
        <f t="shared" si="5"/>
        <v/>
      </c>
      <c r="J80" s="3" t="str">
        <f t="shared" si="6"/>
        <v/>
      </c>
      <c r="K80" s="3" t="str">
        <f t="shared" si="7"/>
        <v/>
      </c>
    </row>
    <row r="81" spans="1:11">
      <c r="A81" s="3" t="str">
        <f>IF(LEN(Sheet1!C78)&lt;1,"",IF(LEN(Sheet1!C78)&gt;1,"Q","A"))</f>
        <v/>
      </c>
      <c r="B81" s="3" t="str">
        <f>IF(LEN(A81)&lt;1,"",Sheet1!P78)</f>
        <v/>
      </c>
      <c r="C81" s="3" t="str">
        <f>IF(LEN(A81)&lt;1,"",Sheet1!X78)</f>
        <v/>
      </c>
      <c r="E81" s="3" t="str">
        <f>IF(LEN(A81)&lt;1,"",Sheet1!M78)</f>
        <v/>
      </c>
      <c r="F81" s="3" t="str">
        <f>IF(ISBLANK(A81),"",Sheet1!N78)</f>
        <v/>
      </c>
      <c r="G81" s="3" t="str">
        <f>IF(ISBLANK(A81),"",Sheet1!O78)</f>
        <v/>
      </c>
      <c r="H81" s="3" t="str">
        <f t="shared" si="4"/>
        <v/>
      </c>
      <c r="I81" s="3" t="str">
        <f t="shared" si="5"/>
        <v/>
      </c>
      <c r="J81" s="3" t="str">
        <f t="shared" si="6"/>
        <v/>
      </c>
      <c r="K81" s="3" t="str">
        <f t="shared" si="7"/>
        <v/>
      </c>
    </row>
    <row r="82" spans="1:11">
      <c r="A82" s="3" t="str">
        <f>IF(LEN(Sheet1!C79)&lt;1,"",IF(LEN(Sheet1!C79)&gt;1,"Q","A"))</f>
        <v/>
      </c>
      <c r="B82" s="3" t="str">
        <f>IF(LEN(A82)&lt;1,"",Sheet1!P79)</f>
        <v/>
      </c>
      <c r="C82" s="3" t="str">
        <f>IF(LEN(A82)&lt;1,"",Sheet1!X79)</f>
        <v/>
      </c>
      <c r="E82" s="3" t="str">
        <f>IF(LEN(A82)&lt;1,"",Sheet1!M79)</f>
        <v/>
      </c>
      <c r="F82" s="3" t="str">
        <f>IF(ISBLANK(A82),"",Sheet1!N79)</f>
        <v/>
      </c>
      <c r="G82" s="3" t="str">
        <f>IF(ISBLANK(A82),"",Sheet1!O79)</f>
        <v/>
      </c>
      <c r="H82" s="3" t="str">
        <f t="shared" si="4"/>
        <v/>
      </c>
      <c r="I82" s="3" t="str">
        <f t="shared" si="5"/>
        <v/>
      </c>
      <c r="J82" s="3" t="str">
        <f t="shared" si="6"/>
        <v/>
      </c>
      <c r="K82" s="3" t="str">
        <f t="shared" si="7"/>
        <v/>
      </c>
    </row>
    <row r="83" spans="1:11">
      <c r="A83" s="3" t="str">
        <f>IF(LEN(Sheet1!C80)&lt;1,"",IF(LEN(Sheet1!C80)&gt;1,"Q","A"))</f>
        <v/>
      </c>
      <c r="B83" s="3" t="str">
        <f>IF(LEN(A83)&lt;1,"",Sheet1!P80)</f>
        <v/>
      </c>
      <c r="C83" s="3" t="str">
        <f>IF(LEN(A83)&lt;1,"",Sheet1!X80)</f>
        <v/>
      </c>
      <c r="E83" s="3" t="str">
        <f>IF(LEN(A83)&lt;1,"",Sheet1!M80)</f>
        <v/>
      </c>
      <c r="F83" s="3" t="str">
        <f>IF(ISBLANK(A83),"",Sheet1!N80)</f>
        <v/>
      </c>
      <c r="G83" s="3" t="str">
        <f>IF(ISBLANK(A83),"",Sheet1!O80)</f>
        <v/>
      </c>
      <c r="H83" s="3" t="str">
        <f t="shared" si="4"/>
        <v/>
      </c>
      <c r="I83" s="3" t="str">
        <f t="shared" si="5"/>
        <v/>
      </c>
      <c r="J83" s="3" t="str">
        <f t="shared" si="6"/>
        <v/>
      </c>
      <c r="K83" s="3" t="str">
        <f t="shared" si="7"/>
        <v/>
      </c>
    </row>
    <row r="84" spans="1:11">
      <c r="A84" s="3" t="str">
        <f>IF(LEN(Sheet1!C81)&lt;1,"",IF(LEN(Sheet1!C81)&gt;1,"Q","A"))</f>
        <v/>
      </c>
      <c r="B84" s="3" t="str">
        <f>IF(LEN(A84)&lt;1,"",Sheet1!P81)</f>
        <v/>
      </c>
      <c r="C84" s="3" t="str">
        <f>IF(LEN(A84)&lt;1,"",Sheet1!X81)</f>
        <v/>
      </c>
      <c r="E84" s="3" t="str">
        <f>IF(LEN(A84)&lt;1,"",Sheet1!M81)</f>
        <v/>
      </c>
      <c r="F84" s="3" t="str">
        <f>IF(ISBLANK(A84),"",Sheet1!N81)</f>
        <v/>
      </c>
      <c r="G84" s="3" t="str">
        <f>IF(ISBLANK(A84),"",Sheet1!O81)</f>
        <v/>
      </c>
      <c r="H84" s="3" t="str">
        <f t="shared" si="4"/>
        <v/>
      </c>
      <c r="I84" s="3" t="str">
        <f t="shared" si="5"/>
        <v/>
      </c>
      <c r="J84" s="3" t="str">
        <f t="shared" si="6"/>
        <v/>
      </c>
      <c r="K84" s="3" t="str">
        <f t="shared" si="7"/>
        <v/>
      </c>
    </row>
    <row r="85" spans="1:11">
      <c r="A85" s="3" t="str">
        <f>IF(LEN(Sheet1!C82)&lt;1,"",IF(LEN(Sheet1!C82)&gt;1,"Q","A"))</f>
        <v/>
      </c>
      <c r="B85" s="3" t="str">
        <f>IF(LEN(A85)&lt;1,"",Sheet1!P82)</f>
        <v/>
      </c>
      <c r="C85" s="3" t="str">
        <f>IF(LEN(A85)&lt;1,"",Sheet1!X82)</f>
        <v/>
      </c>
      <c r="E85" s="3" t="str">
        <f>IF(LEN(A85)&lt;1,"",Sheet1!M82)</f>
        <v/>
      </c>
      <c r="F85" s="3" t="str">
        <f>IF(ISBLANK(A85),"",Sheet1!N82)</f>
        <v/>
      </c>
      <c r="G85" s="3" t="str">
        <f>IF(ISBLANK(A85),"",Sheet1!O82)</f>
        <v/>
      </c>
      <c r="H85" s="3" t="str">
        <f t="shared" si="4"/>
        <v/>
      </c>
      <c r="I85" s="3" t="str">
        <f t="shared" si="5"/>
        <v/>
      </c>
      <c r="J85" s="3" t="str">
        <f t="shared" si="6"/>
        <v/>
      </c>
      <c r="K85" s="3" t="str">
        <f t="shared" si="7"/>
        <v/>
      </c>
    </row>
    <row r="86" spans="1:11">
      <c r="A86" s="3" t="str">
        <f>IF(LEN(Sheet1!C83)&lt;1,"",IF(LEN(Sheet1!C83)&gt;1,"Q","A"))</f>
        <v/>
      </c>
      <c r="B86" s="3" t="str">
        <f>IF(LEN(A86)&lt;1,"",Sheet1!P83)</f>
        <v/>
      </c>
      <c r="C86" s="3" t="str">
        <f>IF(LEN(A86)&lt;1,"",Sheet1!X83)</f>
        <v/>
      </c>
      <c r="E86" s="3" t="str">
        <f>IF(LEN(A86)&lt;1,"",Sheet1!M83)</f>
        <v/>
      </c>
      <c r="F86" s="3" t="str">
        <f>IF(ISBLANK(A86),"",Sheet1!N83)</f>
        <v/>
      </c>
      <c r="G86" s="3" t="str">
        <f>IF(ISBLANK(A86),"",Sheet1!O83)</f>
        <v/>
      </c>
      <c r="H86" s="3" t="str">
        <f t="shared" si="4"/>
        <v/>
      </c>
      <c r="I86" s="3" t="str">
        <f t="shared" si="5"/>
        <v/>
      </c>
      <c r="J86" s="3" t="str">
        <f t="shared" si="6"/>
        <v/>
      </c>
      <c r="K86" s="3" t="str">
        <f t="shared" si="7"/>
        <v/>
      </c>
    </row>
    <row r="87" spans="1:11">
      <c r="A87" s="3" t="str">
        <f>IF(LEN(Sheet1!C84)&lt;1,"",IF(LEN(Sheet1!C84)&gt;1,"Q","A"))</f>
        <v/>
      </c>
      <c r="B87" s="3" t="str">
        <f>IF(LEN(A87)&lt;1,"",Sheet1!P84)</f>
        <v/>
      </c>
      <c r="C87" s="3" t="str">
        <f>IF(LEN(A87)&lt;1,"",Sheet1!X84)</f>
        <v/>
      </c>
      <c r="E87" s="3" t="str">
        <f>IF(LEN(A87)&lt;1,"",Sheet1!M84)</f>
        <v/>
      </c>
      <c r="F87" s="3" t="str">
        <f>IF(ISBLANK(A87),"",Sheet1!N84)</f>
        <v/>
      </c>
      <c r="G87" s="3" t="str">
        <f>IF(ISBLANK(A87),"",Sheet1!O84)</f>
        <v/>
      </c>
      <c r="H87" s="3" t="str">
        <f t="shared" si="4"/>
        <v/>
      </c>
      <c r="I87" s="3" t="str">
        <f t="shared" si="5"/>
        <v/>
      </c>
      <c r="J87" s="3" t="str">
        <f t="shared" si="6"/>
        <v/>
      </c>
      <c r="K87" s="3" t="str">
        <f t="shared" si="7"/>
        <v/>
      </c>
    </row>
    <row r="88" spans="1:11">
      <c r="A88" s="3" t="str">
        <f>IF(LEN(Sheet1!C85)&lt;1,"",IF(LEN(Sheet1!C85)&gt;1,"Q","A"))</f>
        <v/>
      </c>
      <c r="B88" s="3" t="str">
        <f>IF(LEN(A88)&lt;1,"",Sheet1!P85)</f>
        <v/>
      </c>
      <c r="C88" s="3" t="str">
        <f>IF(LEN(A88)&lt;1,"",Sheet1!X85)</f>
        <v/>
      </c>
      <c r="E88" s="3" t="str">
        <f>IF(LEN(A88)&lt;1,"",Sheet1!M85)</f>
        <v/>
      </c>
      <c r="F88" s="3" t="str">
        <f>IF(ISBLANK(A88),"",Sheet1!N85)</f>
        <v/>
      </c>
      <c r="G88" s="3" t="str">
        <f>IF(ISBLANK(A88),"",Sheet1!O85)</f>
        <v/>
      </c>
      <c r="H88" s="3" t="str">
        <f t="shared" si="4"/>
        <v/>
      </c>
      <c r="I88" s="3" t="str">
        <f t="shared" si="5"/>
        <v/>
      </c>
      <c r="J88" s="3" t="str">
        <f t="shared" si="6"/>
        <v/>
      </c>
      <c r="K88" s="3" t="str">
        <f t="shared" si="7"/>
        <v/>
      </c>
    </row>
    <row r="89" spans="1:11">
      <c r="A89" s="3" t="str">
        <f>IF(LEN(Sheet1!C86)&lt;1,"",IF(LEN(Sheet1!C86)&gt;1,"Q","A"))</f>
        <v/>
      </c>
      <c r="B89" s="3" t="str">
        <f>IF(LEN(A89)&lt;1,"",Sheet1!P86)</f>
        <v/>
      </c>
      <c r="C89" s="3" t="str">
        <f>IF(LEN(A89)&lt;1,"",Sheet1!X86)</f>
        <v/>
      </c>
      <c r="E89" s="3" t="str">
        <f>IF(LEN(A89)&lt;1,"",Sheet1!M86)</f>
        <v/>
      </c>
      <c r="F89" s="3" t="str">
        <f>IF(ISBLANK(A89),"",Sheet1!N86)</f>
        <v/>
      </c>
      <c r="G89" s="3" t="str">
        <f>IF(ISBLANK(A89),"",Sheet1!O86)</f>
        <v/>
      </c>
      <c r="H89" s="3" t="str">
        <f t="shared" si="4"/>
        <v/>
      </c>
      <c r="I89" s="3" t="str">
        <f t="shared" si="5"/>
        <v/>
      </c>
      <c r="J89" s="3" t="str">
        <f t="shared" si="6"/>
        <v/>
      </c>
      <c r="K89" s="3" t="str">
        <f t="shared" si="7"/>
        <v/>
      </c>
    </row>
    <row r="90" spans="1:11">
      <c r="A90" s="3" t="str">
        <f>IF(LEN(Sheet1!C87)&lt;1,"",IF(LEN(Sheet1!C87)&gt;1,"Q","A"))</f>
        <v/>
      </c>
      <c r="B90" s="3" t="str">
        <f>IF(LEN(A90)&lt;1,"",Sheet1!P87)</f>
        <v/>
      </c>
      <c r="C90" s="3" t="str">
        <f>IF(LEN(A90)&lt;1,"",Sheet1!X87)</f>
        <v/>
      </c>
      <c r="E90" s="3" t="str">
        <f>IF(LEN(A90)&lt;1,"",Sheet1!M87)</f>
        <v/>
      </c>
      <c r="F90" s="3" t="str">
        <f>IF(ISBLANK(A90),"",Sheet1!N87)</f>
        <v/>
      </c>
      <c r="G90" s="3" t="str">
        <f>IF(ISBLANK(A90),"",Sheet1!O87)</f>
        <v/>
      </c>
      <c r="H90" s="3" t="str">
        <f t="shared" si="4"/>
        <v/>
      </c>
      <c r="I90" s="3" t="str">
        <f t="shared" si="5"/>
        <v/>
      </c>
      <c r="J90" s="3" t="str">
        <f t="shared" si="6"/>
        <v/>
      </c>
      <c r="K90" s="3" t="str">
        <f t="shared" si="7"/>
        <v/>
      </c>
    </row>
    <row r="91" spans="1:11">
      <c r="A91" s="3" t="str">
        <f>IF(LEN(Sheet1!C88)&lt;1,"",IF(LEN(Sheet1!C88)&gt;1,"Q","A"))</f>
        <v/>
      </c>
      <c r="B91" s="3" t="str">
        <f>IF(LEN(A91)&lt;1,"",Sheet1!P88)</f>
        <v/>
      </c>
      <c r="C91" s="3" t="str">
        <f>IF(LEN(A91)&lt;1,"",Sheet1!X88)</f>
        <v/>
      </c>
      <c r="E91" s="3" t="str">
        <f>IF(LEN(A91)&lt;1,"",Sheet1!M88)</f>
        <v/>
      </c>
      <c r="F91" s="3" t="str">
        <f>IF(ISBLANK(A91),"",Sheet1!N88)</f>
        <v/>
      </c>
      <c r="G91" s="3" t="str">
        <f>IF(ISBLANK(A91),"",Sheet1!O88)</f>
        <v/>
      </c>
      <c r="H91" s="3" t="str">
        <f t="shared" si="4"/>
        <v/>
      </c>
      <c r="I91" s="3" t="str">
        <f t="shared" si="5"/>
        <v/>
      </c>
      <c r="J91" s="3" t="str">
        <f t="shared" si="6"/>
        <v/>
      </c>
      <c r="K91" s="3" t="str">
        <f t="shared" si="7"/>
        <v/>
      </c>
    </row>
    <row r="92" spans="1:11">
      <c r="A92" s="3" t="str">
        <f>IF(LEN(Sheet1!C89)&lt;1,"",IF(LEN(Sheet1!C89)&gt;1,"Q","A"))</f>
        <v/>
      </c>
      <c r="B92" s="3" t="str">
        <f>IF(LEN(A92)&lt;1,"",Sheet1!P89)</f>
        <v/>
      </c>
      <c r="C92" s="3" t="str">
        <f>IF(LEN(A92)&lt;1,"",Sheet1!X89)</f>
        <v/>
      </c>
      <c r="E92" s="3" t="str">
        <f>IF(LEN(A92)&lt;1,"",Sheet1!M89)</f>
        <v/>
      </c>
      <c r="F92" s="3" t="str">
        <f>IF(ISBLANK(A92),"",Sheet1!N89)</f>
        <v/>
      </c>
      <c r="G92" s="3" t="str">
        <f>IF(ISBLANK(A92),"",Sheet1!O89)</f>
        <v/>
      </c>
      <c r="H92" s="3" t="str">
        <f t="shared" si="4"/>
        <v/>
      </c>
      <c r="I92" s="3" t="str">
        <f t="shared" si="5"/>
        <v/>
      </c>
      <c r="J92" s="3" t="str">
        <f t="shared" si="6"/>
        <v/>
      </c>
      <c r="K92" s="3" t="str">
        <f t="shared" si="7"/>
        <v/>
      </c>
    </row>
    <row r="93" spans="1:11">
      <c r="A93" s="3" t="str">
        <f>IF(LEN(Sheet1!C90)&lt;1,"",IF(LEN(Sheet1!C90)&gt;1,"Q","A"))</f>
        <v/>
      </c>
      <c r="B93" s="3" t="str">
        <f>IF(LEN(A93)&lt;1,"",Sheet1!P90)</f>
        <v/>
      </c>
      <c r="C93" s="3" t="str">
        <f>IF(LEN(A93)&lt;1,"",Sheet1!X90)</f>
        <v/>
      </c>
      <c r="E93" s="3" t="str">
        <f>IF(LEN(A93)&lt;1,"",Sheet1!M90)</f>
        <v/>
      </c>
      <c r="F93" s="3" t="str">
        <f>IF(ISBLANK(A93),"",Sheet1!N90)</f>
        <v/>
      </c>
      <c r="G93" s="3" t="str">
        <f>IF(ISBLANK(A93),"",Sheet1!O90)</f>
        <v/>
      </c>
      <c r="H93" s="3" t="str">
        <f t="shared" si="4"/>
        <v/>
      </c>
      <c r="I93" s="3" t="str">
        <f t="shared" si="5"/>
        <v/>
      </c>
      <c r="J93" s="3" t="str">
        <f t="shared" si="6"/>
        <v/>
      </c>
      <c r="K93" s="3" t="str">
        <f t="shared" si="7"/>
        <v/>
      </c>
    </row>
    <row r="94" spans="1:11">
      <c r="A94" s="3" t="str">
        <f>IF(LEN(Sheet1!C91)&lt;1,"",IF(LEN(Sheet1!C91)&gt;1,"Q","A"))</f>
        <v/>
      </c>
      <c r="B94" s="3" t="str">
        <f>IF(LEN(A94)&lt;1,"",Sheet1!P91)</f>
        <v/>
      </c>
      <c r="C94" s="3" t="str">
        <f>IF(LEN(A94)&lt;1,"",Sheet1!X91)</f>
        <v/>
      </c>
      <c r="E94" s="3" t="str">
        <f>IF(LEN(A94)&lt;1,"",Sheet1!M91)</f>
        <v/>
      </c>
      <c r="F94" s="3" t="str">
        <f>IF(ISBLANK(A94),"",Sheet1!N91)</f>
        <v/>
      </c>
      <c r="G94" s="3" t="str">
        <f>IF(ISBLANK(A94),"",Sheet1!O91)</f>
        <v/>
      </c>
      <c r="H94" s="3" t="str">
        <f t="shared" si="4"/>
        <v/>
      </c>
      <c r="I94" s="3" t="str">
        <f t="shared" si="5"/>
        <v/>
      </c>
      <c r="J94" s="3" t="str">
        <f t="shared" si="6"/>
        <v/>
      </c>
      <c r="K94" s="3" t="str">
        <f t="shared" si="7"/>
        <v/>
      </c>
    </row>
    <row r="95" spans="1:11">
      <c r="A95" s="3" t="str">
        <f>IF(LEN(Sheet1!C92)&lt;1,"",IF(LEN(Sheet1!C92)&gt;1,"Q","A"))</f>
        <v/>
      </c>
      <c r="B95" s="3" t="str">
        <f>IF(LEN(A95)&lt;1,"",Sheet1!P92)</f>
        <v/>
      </c>
      <c r="C95" s="3" t="str">
        <f>IF(LEN(A95)&lt;1,"",Sheet1!X92)</f>
        <v/>
      </c>
      <c r="E95" s="3" t="str">
        <f>IF(LEN(A95)&lt;1,"",Sheet1!M92)</f>
        <v/>
      </c>
      <c r="F95" s="3" t="str">
        <f>IF(ISBLANK(A95),"",Sheet1!N92)</f>
        <v/>
      </c>
      <c r="G95" s="3" t="str">
        <f>IF(ISBLANK(A95),"",Sheet1!O92)</f>
        <v/>
      </c>
      <c r="H95" s="3" t="str">
        <f t="shared" si="4"/>
        <v/>
      </c>
      <c r="I95" s="3" t="str">
        <f t="shared" si="5"/>
        <v/>
      </c>
      <c r="J95" s="3" t="str">
        <f t="shared" si="6"/>
        <v/>
      </c>
      <c r="K95" s="3" t="str">
        <f t="shared" si="7"/>
        <v/>
      </c>
    </row>
    <row r="96" spans="1:11">
      <c r="A96" s="3" t="str">
        <f>IF(LEN(Sheet1!C93)&lt;1,"",IF(LEN(Sheet1!C93)&gt;1,"Q","A"))</f>
        <v/>
      </c>
      <c r="B96" s="3" t="str">
        <f>IF(LEN(A96)&lt;1,"",Sheet1!P93)</f>
        <v/>
      </c>
      <c r="C96" s="3" t="str">
        <f>IF(LEN(A96)&lt;1,"",Sheet1!X93)</f>
        <v/>
      </c>
      <c r="E96" s="3" t="str">
        <f>IF(LEN(A96)&lt;1,"",Sheet1!M93)</f>
        <v/>
      </c>
      <c r="F96" s="3" t="str">
        <f>IF(ISBLANK(A96),"",Sheet1!N93)</f>
        <v/>
      </c>
      <c r="G96" s="3" t="str">
        <f>IF(ISBLANK(A96),"",Sheet1!O93)</f>
        <v/>
      </c>
      <c r="H96" s="3" t="str">
        <f t="shared" si="4"/>
        <v/>
      </c>
      <c r="I96" s="3" t="str">
        <f t="shared" si="5"/>
        <v/>
      </c>
      <c r="J96" s="3" t="str">
        <f t="shared" si="6"/>
        <v/>
      </c>
      <c r="K96" s="3" t="str">
        <f t="shared" si="7"/>
        <v/>
      </c>
    </row>
    <row r="97" spans="1:11">
      <c r="A97" s="3" t="str">
        <f>IF(LEN(Sheet1!C94)&lt;1,"",IF(LEN(Sheet1!C94)&gt;1,"Q","A"))</f>
        <v/>
      </c>
      <c r="B97" s="3" t="str">
        <f>IF(LEN(A97)&lt;1,"",Sheet1!P94)</f>
        <v/>
      </c>
      <c r="C97" s="3" t="str">
        <f>IF(LEN(A97)&lt;1,"",Sheet1!X94)</f>
        <v/>
      </c>
      <c r="E97" s="3" t="str">
        <f>IF(LEN(A97)&lt;1,"",Sheet1!M94)</f>
        <v/>
      </c>
      <c r="F97" s="3" t="str">
        <f>IF(ISBLANK(A97),"",Sheet1!N94)</f>
        <v/>
      </c>
      <c r="G97" s="3" t="str">
        <f>IF(ISBLANK(A97),"",Sheet1!O94)</f>
        <v/>
      </c>
      <c r="H97" s="3" t="str">
        <f t="shared" si="4"/>
        <v/>
      </c>
      <c r="I97" s="3" t="str">
        <f t="shared" si="5"/>
        <v/>
      </c>
      <c r="J97" s="3" t="str">
        <f t="shared" si="6"/>
        <v/>
      </c>
      <c r="K97" s="3" t="str">
        <f t="shared" si="7"/>
        <v/>
      </c>
    </row>
    <row r="98" spans="1:11">
      <c r="A98" s="3" t="str">
        <f>IF(LEN(Sheet1!C95)&lt;1,"",IF(LEN(Sheet1!C95)&gt;1,"Q","A"))</f>
        <v/>
      </c>
      <c r="B98" s="3" t="str">
        <f>IF(LEN(A98)&lt;1,"",Sheet1!P95)</f>
        <v/>
      </c>
      <c r="C98" s="3" t="str">
        <f>IF(LEN(A98)&lt;1,"",Sheet1!X95)</f>
        <v/>
      </c>
      <c r="E98" s="3" t="str">
        <f>IF(LEN(A98)&lt;1,"",Sheet1!M95)</f>
        <v/>
      </c>
      <c r="F98" s="3" t="str">
        <f>IF(ISBLANK(A98),"",Sheet1!N95)</f>
        <v/>
      </c>
      <c r="G98" s="3" t="str">
        <f>IF(ISBLANK(A98),"",Sheet1!O95)</f>
        <v/>
      </c>
      <c r="H98" s="3" t="str">
        <f t="shared" si="4"/>
        <v/>
      </c>
      <c r="I98" s="3" t="str">
        <f t="shared" si="5"/>
        <v/>
      </c>
      <c r="J98" s="3" t="str">
        <f t="shared" si="6"/>
        <v/>
      </c>
      <c r="K98" s="3" t="str">
        <f t="shared" si="7"/>
        <v/>
      </c>
    </row>
    <row r="99" spans="1:11">
      <c r="A99" s="3" t="str">
        <f>IF(LEN(Sheet1!C96)&lt;1,"",IF(LEN(Sheet1!C96)&gt;1,"Q","A"))</f>
        <v/>
      </c>
      <c r="B99" s="3" t="str">
        <f>IF(LEN(A99)&lt;1,"",Sheet1!P96)</f>
        <v/>
      </c>
      <c r="C99" s="3" t="str">
        <f>IF(LEN(A99)&lt;1,"",Sheet1!X96)</f>
        <v/>
      </c>
      <c r="E99" s="3" t="str">
        <f>IF(LEN(A99)&lt;1,"",Sheet1!M96)</f>
        <v/>
      </c>
      <c r="F99" s="3" t="str">
        <f>IF(ISBLANK(A99),"",Sheet1!N96)</f>
        <v/>
      </c>
      <c r="G99" s="3" t="str">
        <f>IF(ISBLANK(A99),"",Sheet1!O96)</f>
        <v/>
      </c>
      <c r="H99" s="3" t="str">
        <f t="shared" si="4"/>
        <v/>
      </c>
      <c r="I99" s="3" t="str">
        <f t="shared" si="5"/>
        <v/>
      </c>
      <c r="J99" s="3" t="str">
        <f t="shared" si="6"/>
        <v/>
      </c>
      <c r="K99" s="3" t="str">
        <f t="shared" si="7"/>
        <v/>
      </c>
    </row>
    <row r="100" spans="1:11">
      <c r="A100" s="3" t="str">
        <f>IF(LEN(Sheet1!C97)&lt;1,"",IF(LEN(Sheet1!C97)&gt;1,"Q","A"))</f>
        <v/>
      </c>
      <c r="B100" s="3" t="str">
        <f>IF(LEN(A100)&lt;1,"",Sheet1!P97)</f>
        <v/>
      </c>
      <c r="C100" s="3" t="str">
        <f>IF(LEN(A100)&lt;1,"",Sheet1!X97)</f>
        <v/>
      </c>
      <c r="E100" s="3" t="str">
        <f>IF(LEN(A100)&lt;1,"",Sheet1!M97)</f>
        <v/>
      </c>
      <c r="F100" s="3" t="str">
        <f>IF(ISBLANK(A100),"",Sheet1!N97)</f>
        <v/>
      </c>
      <c r="G100" s="3" t="str">
        <f>IF(ISBLANK(A100),"",Sheet1!O97)</f>
        <v/>
      </c>
      <c r="H100" s="3" t="str">
        <f t="shared" si="4"/>
        <v/>
      </c>
      <c r="I100" s="3" t="str">
        <f t="shared" si="5"/>
        <v/>
      </c>
      <c r="J100" s="3" t="str">
        <f t="shared" si="6"/>
        <v/>
      </c>
      <c r="K100" s="3" t="str">
        <f t="shared" si="7"/>
        <v/>
      </c>
    </row>
    <row r="101" spans="1:11">
      <c r="A101" s="3" t="str">
        <f>IF(LEN(Sheet1!C98)&lt;1,"",IF(LEN(Sheet1!C98)&gt;1,"Q","A"))</f>
        <v/>
      </c>
      <c r="B101" s="3" t="str">
        <f>IF(LEN(A101)&lt;1,"",Sheet1!P98)</f>
        <v/>
      </c>
      <c r="C101" s="3" t="str">
        <f>IF(LEN(A101)&lt;1,"",Sheet1!X98)</f>
        <v/>
      </c>
      <c r="E101" s="3" t="str">
        <f>IF(LEN(A101)&lt;1,"",Sheet1!M98)</f>
        <v/>
      </c>
      <c r="F101" s="3" t="str">
        <f>IF(ISBLANK(A101),"",Sheet1!N98)</f>
        <v/>
      </c>
      <c r="G101" s="3" t="str">
        <f>IF(ISBLANK(A101),"",Sheet1!O98)</f>
        <v/>
      </c>
      <c r="H101" s="3" t="str">
        <f t="shared" si="4"/>
        <v/>
      </c>
      <c r="I101" s="3" t="str">
        <f t="shared" si="5"/>
        <v/>
      </c>
      <c r="J101" s="3" t="str">
        <f t="shared" si="6"/>
        <v/>
      </c>
      <c r="K101" s="3" t="str">
        <f t="shared" si="7"/>
        <v/>
      </c>
    </row>
    <row r="102" spans="1:11">
      <c r="A102" s="3" t="str">
        <f>IF(LEN(Sheet1!C99)&lt;1,"",IF(LEN(Sheet1!C99)&gt;1,"Q","A"))</f>
        <v/>
      </c>
      <c r="B102" s="3" t="str">
        <f>IF(LEN(A102)&lt;1,"",Sheet1!P99)</f>
        <v/>
      </c>
      <c r="C102" s="3" t="str">
        <f>IF(LEN(A102)&lt;1,"",Sheet1!X99)</f>
        <v/>
      </c>
      <c r="E102" s="3" t="str">
        <f>IF(LEN(A102)&lt;1,"",Sheet1!M99)</f>
        <v/>
      </c>
      <c r="F102" s="3" t="str">
        <f>IF(ISBLANK(A102),"",Sheet1!N99)</f>
        <v/>
      </c>
      <c r="G102" s="3" t="str">
        <f>IF(ISBLANK(A102),"",Sheet1!O99)</f>
        <v/>
      </c>
      <c r="H102" s="3" t="str">
        <f t="shared" si="4"/>
        <v/>
      </c>
      <c r="I102" s="3" t="str">
        <f t="shared" si="5"/>
        <v/>
      </c>
      <c r="J102" s="3" t="str">
        <f t="shared" si="6"/>
        <v/>
      </c>
      <c r="K102" s="3" t="str">
        <f t="shared" si="7"/>
        <v/>
      </c>
    </row>
    <row r="103" spans="1:11">
      <c r="A103" s="3" t="str">
        <f>IF(LEN(Sheet1!C100)&lt;1,"",IF(LEN(Sheet1!C100)&gt;1,"Q","A"))</f>
        <v/>
      </c>
      <c r="B103" s="3" t="str">
        <f>IF(LEN(A103)&lt;1,"",Sheet1!P100)</f>
        <v/>
      </c>
      <c r="C103" s="3" t="str">
        <f>IF(LEN(A103)&lt;1,"",Sheet1!X100)</f>
        <v/>
      </c>
      <c r="E103" s="3" t="str">
        <f>IF(LEN(A103)&lt;1,"",Sheet1!M100)</f>
        <v/>
      </c>
      <c r="F103" s="3" t="str">
        <f>IF(ISBLANK(A103),"",Sheet1!N100)</f>
        <v/>
      </c>
      <c r="G103" s="3" t="str">
        <f>IF(ISBLANK(A103),"",Sheet1!O100)</f>
        <v/>
      </c>
      <c r="H103" s="3" t="str">
        <f t="shared" si="4"/>
        <v/>
      </c>
      <c r="I103" s="3" t="str">
        <f t="shared" si="5"/>
        <v/>
      </c>
      <c r="J103" s="3" t="str">
        <f t="shared" si="6"/>
        <v/>
      </c>
      <c r="K103" s="3" t="str">
        <f t="shared" si="7"/>
        <v/>
      </c>
    </row>
    <row r="104" spans="1:11">
      <c r="A104" s="3" t="str">
        <f>IF(LEN(Sheet1!C101)&lt;1,"",IF(LEN(Sheet1!C101)&gt;1,"Q","A"))</f>
        <v/>
      </c>
      <c r="B104" s="3" t="str">
        <f>IF(LEN(A104)&lt;1,"",Sheet1!P101)</f>
        <v/>
      </c>
      <c r="C104" s="3" t="str">
        <f>IF(LEN(A104)&lt;1,"",Sheet1!X101)</f>
        <v/>
      </c>
      <c r="E104" s="3" t="str">
        <f>IF(LEN(A104)&lt;1,"",Sheet1!M101)</f>
        <v/>
      </c>
      <c r="F104" s="3" t="str">
        <f>IF(ISBLANK(A104),"",Sheet1!N101)</f>
        <v/>
      </c>
      <c r="G104" s="3" t="str">
        <f>IF(ISBLANK(A104),"",Sheet1!O101)</f>
        <v/>
      </c>
      <c r="H104" s="3" t="str">
        <f t="shared" si="4"/>
        <v/>
      </c>
      <c r="I104" s="3" t="str">
        <f t="shared" si="5"/>
        <v/>
      </c>
      <c r="J104" s="3" t="str">
        <f t="shared" si="6"/>
        <v/>
      </c>
      <c r="K104" s="3" t="str">
        <f t="shared" si="7"/>
        <v/>
      </c>
    </row>
    <row r="105" spans="1:11">
      <c r="A105" s="3" t="str">
        <f>IF(LEN(Sheet1!C102)&lt;1,"",IF(LEN(Sheet1!C102)&gt;1,"Q","A"))</f>
        <v/>
      </c>
      <c r="B105" s="3" t="str">
        <f>IF(LEN(A105)&lt;1,"",Sheet1!P102)</f>
        <v/>
      </c>
      <c r="C105" s="3" t="str">
        <f>IF(LEN(A105)&lt;1,"",Sheet1!X102)</f>
        <v/>
      </c>
      <c r="E105" s="3" t="str">
        <f>IF(LEN(A105)&lt;1,"",Sheet1!M102)</f>
        <v/>
      </c>
      <c r="F105" s="3" t="str">
        <f>IF(ISBLANK(A105),"",Sheet1!N102)</f>
        <v/>
      </c>
      <c r="G105" s="3" t="str">
        <f>IF(ISBLANK(A105),"",Sheet1!O102)</f>
        <v/>
      </c>
      <c r="H105" s="3" t="str">
        <f t="shared" si="4"/>
        <v/>
      </c>
      <c r="I105" s="3" t="str">
        <f t="shared" si="5"/>
        <v/>
      </c>
      <c r="J105" s="3" t="str">
        <f t="shared" si="6"/>
        <v/>
      </c>
      <c r="K105" s="3" t="str">
        <f t="shared" si="7"/>
        <v/>
      </c>
    </row>
    <row r="106" spans="1:11">
      <c r="A106" s="3" t="str">
        <f>IF(LEN(Sheet1!C103)&lt;1,"",IF(LEN(Sheet1!C103)&gt;1,"Q","A"))</f>
        <v/>
      </c>
      <c r="B106" s="3" t="str">
        <f>IF(LEN(A106)&lt;1,"",Sheet1!P103)</f>
        <v/>
      </c>
      <c r="C106" s="3" t="str">
        <f>IF(LEN(A106)&lt;1,"",Sheet1!X103)</f>
        <v/>
      </c>
      <c r="E106" s="3" t="str">
        <f>IF(LEN(A106)&lt;1,"",Sheet1!M103)</f>
        <v/>
      </c>
      <c r="F106" s="3" t="str">
        <f>IF(ISBLANK(A106),"",Sheet1!N103)</f>
        <v/>
      </c>
      <c r="G106" s="3" t="str">
        <f>IF(ISBLANK(A106),"",Sheet1!O103)</f>
        <v/>
      </c>
      <c r="H106" s="3" t="str">
        <f t="shared" si="4"/>
        <v/>
      </c>
      <c r="I106" s="3" t="str">
        <f t="shared" si="5"/>
        <v/>
      </c>
      <c r="J106" s="3" t="str">
        <f t="shared" si="6"/>
        <v/>
      </c>
      <c r="K106" s="3" t="str">
        <f t="shared" si="7"/>
        <v/>
      </c>
    </row>
    <row r="107" spans="1:11">
      <c r="A107" s="3" t="str">
        <f>IF(LEN(Sheet1!C104)&lt;1,"",IF(LEN(Sheet1!C104)&gt;1,"Q","A"))</f>
        <v/>
      </c>
      <c r="B107" s="3" t="str">
        <f>IF(LEN(A107)&lt;1,"",Sheet1!P104)</f>
        <v/>
      </c>
      <c r="C107" s="3" t="str">
        <f>IF(LEN(A107)&lt;1,"",Sheet1!X104)</f>
        <v/>
      </c>
      <c r="E107" s="3" t="str">
        <f>IF(LEN(A107)&lt;1,"",Sheet1!M104)</f>
        <v/>
      </c>
      <c r="F107" s="3" t="str">
        <f>IF(ISBLANK(A107),"",Sheet1!N104)</f>
        <v/>
      </c>
      <c r="G107" s="3" t="str">
        <f>IF(ISBLANK(A107),"",Sheet1!O104)</f>
        <v/>
      </c>
      <c r="H107" s="3" t="str">
        <f t="shared" si="4"/>
        <v/>
      </c>
      <c r="I107" s="3" t="str">
        <f t="shared" si="5"/>
        <v/>
      </c>
      <c r="J107" s="3" t="str">
        <f t="shared" si="6"/>
        <v/>
      </c>
      <c r="K107" s="3" t="str">
        <f t="shared" si="7"/>
        <v/>
      </c>
    </row>
    <row r="108" spans="1:11">
      <c r="A108" s="3" t="str">
        <f>IF(LEN(Sheet1!C105)&lt;1,"",IF(LEN(Sheet1!C105)&gt;1,"Q","A"))</f>
        <v/>
      </c>
      <c r="B108" s="3" t="str">
        <f>IF(LEN(A108)&lt;1,"",Sheet1!P105)</f>
        <v/>
      </c>
      <c r="C108" s="3" t="str">
        <f>IF(LEN(A108)&lt;1,"",Sheet1!X105)</f>
        <v/>
      </c>
      <c r="E108" s="3" t="str">
        <f>IF(LEN(A108)&lt;1,"",Sheet1!M105)</f>
        <v/>
      </c>
      <c r="F108" s="3" t="str">
        <f>IF(ISBLANK(A108),"",Sheet1!N105)</f>
        <v/>
      </c>
      <c r="G108" s="3" t="str">
        <f>IF(ISBLANK(A108),"",Sheet1!O105)</f>
        <v/>
      </c>
      <c r="H108" s="3" t="str">
        <f t="shared" si="4"/>
        <v/>
      </c>
      <c r="I108" s="3" t="str">
        <f t="shared" si="5"/>
        <v/>
      </c>
      <c r="J108" s="3" t="str">
        <f t="shared" si="6"/>
        <v/>
      </c>
      <c r="K108" s="3" t="str">
        <f t="shared" si="7"/>
        <v/>
      </c>
    </row>
    <row r="109" spans="1:11">
      <c r="A109" s="3" t="str">
        <f>IF(LEN(Sheet1!C106)&lt;1,"",IF(LEN(Sheet1!C106)&gt;1,"Q","A"))</f>
        <v/>
      </c>
      <c r="B109" s="3" t="str">
        <f>IF(LEN(A109)&lt;1,"",Sheet1!P106)</f>
        <v/>
      </c>
      <c r="C109" s="3" t="str">
        <f>IF(LEN(A109)&lt;1,"",Sheet1!X106)</f>
        <v/>
      </c>
      <c r="E109" s="3" t="str">
        <f>IF(LEN(A109)&lt;1,"",Sheet1!M106)</f>
        <v/>
      </c>
      <c r="F109" s="3" t="str">
        <f>IF(ISBLANK(A109),"",Sheet1!N106)</f>
        <v/>
      </c>
      <c r="G109" s="3" t="str">
        <f>IF(ISBLANK(A109),"",Sheet1!O106)</f>
        <v/>
      </c>
      <c r="H109" s="3" t="str">
        <f t="shared" si="4"/>
        <v/>
      </c>
      <c r="I109" s="3" t="str">
        <f t="shared" si="5"/>
        <v/>
      </c>
      <c r="J109" s="3" t="str">
        <f t="shared" si="6"/>
        <v/>
      </c>
      <c r="K109" s="3" t="str">
        <f t="shared" si="7"/>
        <v/>
      </c>
    </row>
    <row r="110" spans="1:11">
      <c r="A110" s="3" t="str">
        <f>IF(LEN(Sheet1!C107)&lt;1,"",IF(LEN(Sheet1!C107)&gt;1,"Q","A"))</f>
        <v/>
      </c>
      <c r="B110" s="3" t="str">
        <f>IF(LEN(A110)&lt;1,"",Sheet1!P107)</f>
        <v/>
      </c>
      <c r="C110" s="3" t="str">
        <f>IF(LEN(A110)&lt;1,"",Sheet1!X107)</f>
        <v/>
      </c>
      <c r="E110" s="3" t="str">
        <f>IF(LEN(A110)&lt;1,"",Sheet1!M107)</f>
        <v/>
      </c>
      <c r="F110" s="3" t="str">
        <f>IF(ISBLANK(A110),"",Sheet1!N107)</f>
        <v/>
      </c>
      <c r="G110" s="3" t="str">
        <f>IF(ISBLANK(A110),"",Sheet1!O107)</f>
        <v/>
      </c>
      <c r="H110" s="3" t="str">
        <f t="shared" si="4"/>
        <v/>
      </c>
      <c r="I110" s="3" t="str">
        <f t="shared" si="5"/>
        <v/>
      </c>
      <c r="J110" s="3" t="str">
        <f t="shared" si="6"/>
        <v/>
      </c>
      <c r="K110" s="3" t="str">
        <f t="shared" si="7"/>
        <v/>
      </c>
    </row>
    <row r="111" spans="1:11">
      <c r="A111" s="3" t="str">
        <f>IF(LEN(Sheet1!C108)&lt;1,"",IF(LEN(Sheet1!C108)&gt;1,"Q","A"))</f>
        <v/>
      </c>
      <c r="B111" s="3" t="str">
        <f>IF(LEN(A111)&lt;1,"",Sheet1!P108)</f>
        <v/>
      </c>
      <c r="C111" s="3" t="str">
        <f>IF(LEN(A111)&lt;1,"",Sheet1!X108)</f>
        <v/>
      </c>
      <c r="E111" s="3" t="str">
        <f>IF(LEN(A111)&lt;1,"",Sheet1!M108)</f>
        <v/>
      </c>
      <c r="F111" s="3" t="str">
        <f>IF(ISBLANK(A111),"",Sheet1!N108)</f>
        <v/>
      </c>
      <c r="G111" s="3" t="str">
        <f>IF(ISBLANK(A111),"",Sheet1!O108)</f>
        <v/>
      </c>
      <c r="H111" s="3" t="str">
        <f t="shared" si="4"/>
        <v/>
      </c>
      <c r="I111" s="3" t="str">
        <f t="shared" si="5"/>
        <v/>
      </c>
      <c r="J111" s="3" t="str">
        <f t="shared" si="6"/>
        <v/>
      </c>
      <c r="K111" s="3" t="str">
        <f t="shared" si="7"/>
        <v/>
      </c>
    </row>
    <row r="112" spans="1:11">
      <c r="A112" s="3" t="str">
        <f>IF(LEN(Sheet1!C109)&lt;1,"",IF(LEN(Sheet1!C109)&gt;1,"Q","A"))</f>
        <v/>
      </c>
      <c r="B112" s="3" t="str">
        <f>IF(LEN(A112)&lt;1,"",Sheet1!P109)</f>
        <v/>
      </c>
      <c r="C112" s="3" t="str">
        <f>IF(LEN(A112)&lt;1,"",Sheet1!X109)</f>
        <v/>
      </c>
      <c r="E112" s="3" t="str">
        <f>IF(LEN(A112)&lt;1,"",Sheet1!M109)</f>
        <v/>
      </c>
      <c r="F112" s="3" t="str">
        <f>IF(ISBLANK(A112),"",Sheet1!N109)</f>
        <v/>
      </c>
      <c r="G112" s="3" t="str">
        <f>IF(ISBLANK(A112),"",Sheet1!O109)</f>
        <v/>
      </c>
      <c r="H112" s="3" t="str">
        <f t="shared" si="4"/>
        <v/>
      </c>
      <c r="I112" s="3" t="str">
        <f t="shared" si="5"/>
        <v/>
      </c>
      <c r="J112" s="3" t="str">
        <f t="shared" si="6"/>
        <v/>
      </c>
      <c r="K112" s="3" t="str">
        <f t="shared" si="7"/>
        <v/>
      </c>
    </row>
    <row r="113" spans="1:11">
      <c r="A113" s="3" t="str">
        <f>IF(LEN(Sheet1!C110)&lt;1,"",IF(LEN(Sheet1!C110)&gt;1,"Q","A"))</f>
        <v/>
      </c>
      <c r="B113" s="3" t="str">
        <f>IF(LEN(A113)&lt;1,"",Sheet1!P110)</f>
        <v/>
      </c>
      <c r="C113" s="3" t="str">
        <f>IF(LEN(A113)&lt;1,"",Sheet1!X110)</f>
        <v/>
      </c>
      <c r="E113" s="3" t="str">
        <f>IF(LEN(A113)&lt;1,"",Sheet1!M110)</f>
        <v/>
      </c>
      <c r="F113" s="3" t="str">
        <f>IF(ISBLANK(A113),"",Sheet1!N110)</f>
        <v/>
      </c>
      <c r="G113" s="3" t="str">
        <f>IF(ISBLANK(A113),"",Sheet1!O110)</f>
        <v/>
      </c>
      <c r="H113" s="3" t="str">
        <f t="shared" si="4"/>
        <v/>
      </c>
      <c r="I113" s="3" t="str">
        <f t="shared" si="5"/>
        <v/>
      </c>
      <c r="J113" s="3" t="str">
        <f t="shared" si="6"/>
        <v/>
      </c>
      <c r="K113" s="3" t="str">
        <f t="shared" si="7"/>
        <v/>
      </c>
    </row>
    <row r="114" spans="1:11">
      <c r="A114" s="3" t="str">
        <f>IF(LEN(Sheet1!C111)&lt;1,"",IF(LEN(Sheet1!C111)&gt;1,"Q","A"))</f>
        <v/>
      </c>
      <c r="B114" s="3" t="str">
        <f>IF(LEN(A114)&lt;1,"",Sheet1!P111)</f>
        <v/>
      </c>
      <c r="C114" s="3" t="str">
        <f>IF(LEN(A114)&lt;1,"",Sheet1!X111)</f>
        <v/>
      </c>
      <c r="E114" s="3" t="str">
        <f>IF(LEN(A114)&lt;1,"",Sheet1!M111)</f>
        <v/>
      </c>
      <c r="F114" s="3" t="str">
        <f>IF(ISBLANK(A114),"",Sheet1!N111)</f>
        <v/>
      </c>
      <c r="G114" s="3" t="str">
        <f>IF(ISBLANK(A114),"",Sheet1!O111)</f>
        <v/>
      </c>
      <c r="H114" s="3" t="str">
        <f t="shared" si="4"/>
        <v/>
      </c>
      <c r="I114" s="3" t="str">
        <f t="shared" si="5"/>
        <v/>
      </c>
      <c r="J114" s="3" t="str">
        <f t="shared" si="6"/>
        <v/>
      </c>
      <c r="K114" s="3" t="str">
        <f t="shared" si="7"/>
        <v/>
      </c>
    </row>
    <row r="115" spans="1:11">
      <c r="A115" s="3" t="str">
        <f>IF(LEN(Sheet1!C112)&lt;1,"",IF(LEN(Sheet1!C112)&gt;1,"Q","A"))</f>
        <v/>
      </c>
      <c r="B115" s="3" t="str">
        <f>IF(LEN(A115)&lt;1,"",Sheet1!P112)</f>
        <v/>
      </c>
      <c r="C115" s="3" t="str">
        <f>IF(LEN(A115)&lt;1,"",Sheet1!X112)</f>
        <v/>
      </c>
      <c r="E115" s="3" t="str">
        <f>IF(LEN(A115)&lt;1,"",Sheet1!M112)</f>
        <v/>
      </c>
      <c r="F115" s="3" t="str">
        <f>IF(ISBLANK(A115),"",Sheet1!N112)</f>
        <v/>
      </c>
      <c r="G115" s="3" t="str">
        <f>IF(ISBLANK(A115),"",Sheet1!O112)</f>
        <v/>
      </c>
      <c r="H115" s="3" t="str">
        <f t="shared" si="4"/>
        <v/>
      </c>
      <c r="I115" s="3" t="str">
        <f t="shared" si="5"/>
        <v/>
      </c>
      <c r="J115" s="3" t="str">
        <f t="shared" si="6"/>
        <v/>
      </c>
      <c r="K115" s="3" t="str">
        <f t="shared" si="7"/>
        <v/>
      </c>
    </row>
    <row r="116" spans="1:11">
      <c r="A116" s="3" t="str">
        <f>IF(LEN(Sheet1!C113)&lt;1,"",IF(LEN(Sheet1!C113)&gt;1,"Q","A"))</f>
        <v/>
      </c>
      <c r="B116" s="3" t="str">
        <f>IF(LEN(A116)&lt;1,"",Sheet1!P113)</f>
        <v/>
      </c>
      <c r="C116" s="3" t="str">
        <f>IF(LEN(A116)&lt;1,"",Sheet1!X113)</f>
        <v/>
      </c>
      <c r="E116" s="3" t="str">
        <f>IF(LEN(A116)&lt;1,"",Sheet1!M113)</f>
        <v/>
      </c>
      <c r="F116" s="3" t="str">
        <f>IF(ISBLANK(A116),"",Sheet1!N113)</f>
        <v/>
      </c>
      <c r="G116" s="3" t="str">
        <f>IF(ISBLANK(A116),"",Sheet1!O113)</f>
        <v/>
      </c>
      <c r="H116" s="3" t="str">
        <f t="shared" si="4"/>
        <v/>
      </c>
      <c r="I116" s="3" t="str">
        <f t="shared" si="5"/>
        <v/>
      </c>
      <c r="J116" s="3" t="str">
        <f t="shared" si="6"/>
        <v/>
      </c>
      <c r="K116" s="3" t="str">
        <f t="shared" si="7"/>
        <v/>
      </c>
    </row>
    <row r="117" spans="1:11">
      <c r="A117" s="3" t="str">
        <f>IF(LEN(Sheet1!C114)&lt;1,"",IF(LEN(Sheet1!C114)&gt;1,"Q","A"))</f>
        <v/>
      </c>
      <c r="B117" s="3" t="str">
        <f>IF(LEN(A117)&lt;1,"",Sheet1!P114)</f>
        <v/>
      </c>
      <c r="C117" s="3" t="str">
        <f>IF(LEN(A117)&lt;1,"",Sheet1!X114)</f>
        <v/>
      </c>
      <c r="E117" s="3" t="str">
        <f>IF(LEN(A117)&lt;1,"",Sheet1!M114)</f>
        <v/>
      </c>
      <c r="F117" s="3" t="str">
        <f>IF(ISBLANK(A117),"",Sheet1!N114)</f>
        <v/>
      </c>
      <c r="G117" s="3" t="str">
        <f>IF(ISBLANK(A117),"",Sheet1!O114)</f>
        <v/>
      </c>
      <c r="H117" s="3" t="str">
        <f t="shared" si="4"/>
        <v/>
      </c>
      <c r="I117" s="3" t="str">
        <f t="shared" si="5"/>
        <v/>
      </c>
      <c r="J117" s="3" t="str">
        <f t="shared" si="6"/>
        <v/>
      </c>
      <c r="K117" s="3" t="str">
        <f t="shared" si="7"/>
        <v/>
      </c>
    </row>
    <row r="118" spans="1:11">
      <c r="A118" s="3" t="str">
        <f>IF(LEN(Sheet1!C115)&lt;1,"",IF(LEN(Sheet1!C115)&gt;1,"Q","A"))</f>
        <v/>
      </c>
      <c r="B118" s="3" t="str">
        <f>IF(LEN(A118)&lt;1,"",Sheet1!P115)</f>
        <v/>
      </c>
      <c r="C118" s="3" t="str">
        <f>IF(LEN(A118)&lt;1,"",Sheet1!X115)</f>
        <v/>
      </c>
      <c r="E118" s="3" t="str">
        <f>IF(LEN(A118)&lt;1,"",Sheet1!M115)</f>
        <v/>
      </c>
      <c r="F118" s="3" t="str">
        <f>IF(ISBLANK(A118),"",Sheet1!N115)</f>
        <v/>
      </c>
      <c r="G118" s="3" t="str">
        <f>IF(ISBLANK(A118),"",Sheet1!O115)</f>
        <v/>
      </c>
      <c r="H118" s="3" t="str">
        <f t="shared" si="4"/>
        <v/>
      </c>
      <c r="I118" s="3" t="str">
        <f t="shared" si="5"/>
        <v/>
      </c>
      <c r="J118" s="3" t="str">
        <f t="shared" si="6"/>
        <v/>
      </c>
      <c r="K118" s="3" t="str">
        <f t="shared" si="7"/>
        <v/>
      </c>
    </row>
    <row r="119" spans="1:11">
      <c r="A119" s="3" t="str">
        <f>IF(LEN(Sheet1!C116)&lt;1,"",IF(LEN(Sheet1!C116)&gt;1,"Q","A"))</f>
        <v/>
      </c>
      <c r="B119" s="3" t="str">
        <f>IF(LEN(A119)&lt;1,"",Sheet1!P116)</f>
        <v/>
      </c>
      <c r="C119" s="3" t="str">
        <f>IF(LEN(A119)&lt;1,"",Sheet1!X116)</f>
        <v/>
      </c>
      <c r="E119" s="3" t="str">
        <f>IF(LEN(A119)&lt;1,"",Sheet1!M116)</f>
        <v/>
      </c>
      <c r="F119" s="3" t="str">
        <f>IF(ISBLANK(A119),"",Sheet1!N116)</f>
        <v/>
      </c>
      <c r="G119" s="3" t="str">
        <f>IF(ISBLANK(A119),"",Sheet1!O116)</f>
        <v/>
      </c>
      <c r="H119" s="3" t="str">
        <f t="shared" si="4"/>
        <v/>
      </c>
      <c r="I119" s="3" t="str">
        <f t="shared" si="5"/>
        <v/>
      </c>
      <c r="J119" s="3" t="str">
        <f t="shared" si="6"/>
        <v/>
      </c>
      <c r="K119" s="3" t="str">
        <f t="shared" si="7"/>
        <v/>
      </c>
    </row>
    <row r="120" spans="1:11">
      <c r="A120" s="3" t="str">
        <f>IF(LEN(Sheet1!C117)&lt;1,"",IF(LEN(Sheet1!C117)&gt;1,"Q","A"))</f>
        <v/>
      </c>
      <c r="B120" s="3" t="str">
        <f>IF(LEN(A120)&lt;1,"",Sheet1!P117)</f>
        <v/>
      </c>
      <c r="C120" s="3" t="str">
        <f>IF(LEN(A120)&lt;1,"",Sheet1!X117)</f>
        <v/>
      </c>
      <c r="E120" s="3" t="str">
        <f>IF(LEN(A120)&lt;1,"",Sheet1!M117)</f>
        <v/>
      </c>
      <c r="F120" s="3" t="str">
        <f>IF(ISBLANK(A120),"",Sheet1!N117)</f>
        <v/>
      </c>
      <c r="G120" s="3" t="str">
        <f>IF(ISBLANK(A120),"",Sheet1!O117)</f>
        <v/>
      </c>
      <c r="H120" s="3" t="str">
        <f t="shared" si="4"/>
        <v/>
      </c>
      <c r="I120" s="3" t="str">
        <f t="shared" si="5"/>
        <v/>
      </c>
      <c r="J120" s="3" t="str">
        <f t="shared" si="6"/>
        <v/>
      </c>
      <c r="K120" s="3" t="str">
        <f t="shared" si="7"/>
        <v/>
      </c>
    </row>
    <row r="121" spans="1:11">
      <c r="A121" s="3" t="str">
        <f>IF(LEN(Sheet1!C118)&lt;1,"",IF(LEN(Sheet1!C118)&gt;1,"Q","A"))</f>
        <v/>
      </c>
      <c r="B121" s="3" t="str">
        <f>IF(LEN(A121)&lt;1,"",Sheet1!P118)</f>
        <v/>
      </c>
      <c r="C121" s="3" t="str">
        <f>IF(LEN(A121)&lt;1,"",Sheet1!X118)</f>
        <v/>
      </c>
      <c r="E121" s="3" t="str">
        <f>IF(LEN(A121)&lt;1,"",Sheet1!M118)</f>
        <v/>
      </c>
      <c r="F121" s="3" t="str">
        <f>IF(ISBLANK(A121),"",Sheet1!N118)</f>
        <v/>
      </c>
      <c r="G121" s="3" t="str">
        <f>IF(ISBLANK(A121),"",Sheet1!O118)</f>
        <v/>
      </c>
      <c r="H121" s="3" t="str">
        <f t="shared" si="4"/>
        <v/>
      </c>
      <c r="I121" s="3" t="str">
        <f t="shared" si="5"/>
        <v/>
      </c>
      <c r="J121" s="3" t="str">
        <f t="shared" si="6"/>
        <v/>
      </c>
      <c r="K121" s="3" t="str">
        <f t="shared" si="7"/>
        <v/>
      </c>
    </row>
    <row r="122" spans="1:11">
      <c r="A122" s="3" t="str">
        <f>IF(LEN(Sheet1!C119)&lt;1,"",IF(LEN(Sheet1!C119)&gt;1,"Q","A"))</f>
        <v/>
      </c>
      <c r="B122" s="3" t="str">
        <f>IF(LEN(A122)&lt;1,"",Sheet1!P119)</f>
        <v/>
      </c>
      <c r="C122" s="3" t="str">
        <f>IF(LEN(A122)&lt;1,"",Sheet1!X119)</f>
        <v/>
      </c>
      <c r="E122" s="3" t="str">
        <f>IF(LEN(A122)&lt;1,"",Sheet1!M119)</f>
        <v/>
      </c>
      <c r="F122" s="3" t="str">
        <f>IF(ISBLANK(A122),"",Sheet1!N119)</f>
        <v/>
      </c>
      <c r="G122" s="3" t="str">
        <f>IF(ISBLANK(A122),"",Sheet1!O119)</f>
        <v/>
      </c>
      <c r="H122" s="3" t="str">
        <f t="shared" si="4"/>
        <v/>
      </c>
      <c r="I122" s="3" t="str">
        <f t="shared" si="5"/>
        <v/>
      </c>
      <c r="J122" s="3" t="str">
        <f t="shared" si="6"/>
        <v/>
      </c>
      <c r="K122" s="3" t="str">
        <f t="shared" si="7"/>
        <v/>
      </c>
    </row>
    <row r="123" spans="1:11">
      <c r="A123" s="3" t="str">
        <f>IF(LEN(Sheet1!C120)&lt;1,"",IF(LEN(Sheet1!C120)&gt;1,"Q","A"))</f>
        <v/>
      </c>
      <c r="B123" s="3" t="str">
        <f>IF(LEN(A123)&lt;1,"",Sheet1!P120)</f>
        <v/>
      </c>
      <c r="C123" s="3" t="str">
        <f>IF(LEN(A123)&lt;1,"",Sheet1!X120)</f>
        <v/>
      </c>
      <c r="E123" s="3" t="str">
        <f>IF(LEN(A123)&lt;1,"",Sheet1!M120)</f>
        <v/>
      </c>
      <c r="F123" s="3" t="str">
        <f>IF(ISBLANK(A123),"",Sheet1!N120)</f>
        <v/>
      </c>
      <c r="G123" s="3" t="str">
        <f>IF(ISBLANK(A123),"",Sheet1!O120)</f>
        <v/>
      </c>
      <c r="H123" s="3" t="str">
        <f t="shared" si="4"/>
        <v/>
      </c>
      <c r="I123" s="3" t="str">
        <f t="shared" si="5"/>
        <v/>
      </c>
      <c r="J123" s="3" t="str">
        <f t="shared" si="6"/>
        <v/>
      </c>
      <c r="K123" s="3" t="str">
        <f t="shared" si="7"/>
        <v/>
      </c>
    </row>
    <row r="124" spans="1:11">
      <c r="A124" s="3" t="str">
        <f>IF(LEN(Sheet1!C121)&lt;1,"",IF(LEN(Sheet1!C121)&gt;1,"Q","A"))</f>
        <v/>
      </c>
      <c r="B124" s="3" t="str">
        <f>IF(LEN(A124)&lt;1,"",Sheet1!P121)</f>
        <v/>
      </c>
      <c r="C124" s="3" t="str">
        <f>IF(LEN(A124)&lt;1,"",Sheet1!X121)</f>
        <v/>
      </c>
      <c r="E124" s="3" t="str">
        <f>IF(LEN(A124)&lt;1,"",Sheet1!M121)</f>
        <v/>
      </c>
      <c r="F124" s="3" t="str">
        <f>IF(ISBLANK(A124),"",Sheet1!N121)</f>
        <v/>
      </c>
      <c r="G124" s="3" t="str">
        <f>IF(ISBLANK(A124),"",Sheet1!O121)</f>
        <v/>
      </c>
      <c r="H124" s="3" t="str">
        <f t="shared" si="4"/>
        <v/>
      </c>
      <c r="I124" s="3" t="str">
        <f t="shared" si="5"/>
        <v/>
      </c>
      <c r="J124" s="3" t="str">
        <f t="shared" si="6"/>
        <v/>
      </c>
      <c r="K124" s="3" t="str">
        <f t="shared" si="7"/>
        <v/>
      </c>
    </row>
    <row r="125" spans="1:11">
      <c r="A125" s="3" t="str">
        <f>IF(LEN(Sheet1!C122)&lt;1,"",IF(LEN(Sheet1!C122)&gt;1,"Q","A"))</f>
        <v/>
      </c>
      <c r="B125" s="3" t="str">
        <f>IF(LEN(A125)&lt;1,"",Sheet1!P122)</f>
        <v/>
      </c>
      <c r="C125" s="3" t="str">
        <f>IF(LEN(A125)&lt;1,"",Sheet1!X122)</f>
        <v/>
      </c>
      <c r="E125" s="3" t="str">
        <f>IF(LEN(A125)&lt;1,"",Sheet1!M122)</f>
        <v/>
      </c>
      <c r="F125" s="3" t="str">
        <f>IF(ISBLANK(A125),"",Sheet1!N122)</f>
        <v/>
      </c>
      <c r="G125" s="3" t="str">
        <f>IF(ISBLANK(A125),"",Sheet1!O122)</f>
        <v/>
      </c>
      <c r="H125" s="3" t="str">
        <f t="shared" si="4"/>
        <v/>
      </c>
      <c r="I125" s="3" t="str">
        <f t="shared" si="5"/>
        <v/>
      </c>
      <c r="J125" s="3" t="str">
        <f t="shared" si="6"/>
        <v/>
      </c>
      <c r="K125" s="3" t="str">
        <f t="shared" si="7"/>
        <v/>
      </c>
    </row>
    <row r="126" spans="1:11">
      <c r="A126" s="3" t="str">
        <f>IF(LEN(Sheet1!C123)&lt;1,"",IF(LEN(Sheet1!C123)&gt;1,"Q","A"))</f>
        <v/>
      </c>
      <c r="B126" s="3" t="str">
        <f>IF(LEN(A126)&lt;1,"",Sheet1!P123)</f>
        <v/>
      </c>
      <c r="C126" s="3" t="str">
        <f>IF(LEN(A126)&lt;1,"",Sheet1!X123)</f>
        <v/>
      </c>
      <c r="E126" s="3" t="str">
        <f>IF(LEN(A126)&lt;1,"",Sheet1!M123)</f>
        <v/>
      </c>
      <c r="F126" s="3" t="str">
        <f>IF(ISBLANK(A126),"",Sheet1!N123)</f>
        <v/>
      </c>
      <c r="G126" s="3" t="str">
        <f>IF(ISBLANK(A126),"",Sheet1!O123)</f>
        <v/>
      </c>
      <c r="H126" s="3" t="str">
        <f t="shared" si="4"/>
        <v/>
      </c>
      <c r="I126" s="3" t="str">
        <f t="shared" si="5"/>
        <v/>
      </c>
      <c r="J126" s="3" t="str">
        <f t="shared" si="6"/>
        <v/>
      </c>
      <c r="K126" s="3" t="str">
        <f t="shared" si="7"/>
        <v/>
      </c>
    </row>
    <row r="127" spans="1:11">
      <c r="A127" s="3" t="str">
        <f>IF(LEN(Sheet1!C124)&lt;1,"",IF(LEN(Sheet1!C124)&gt;1,"Q","A"))</f>
        <v/>
      </c>
      <c r="B127" s="3" t="str">
        <f>IF(LEN(A127)&lt;1,"",Sheet1!P124)</f>
        <v/>
      </c>
      <c r="C127" s="3" t="str">
        <f>IF(LEN(A127)&lt;1,"",Sheet1!X124)</f>
        <v/>
      </c>
      <c r="E127" s="3" t="str">
        <f>IF(LEN(A127)&lt;1,"",Sheet1!M124)</f>
        <v/>
      </c>
      <c r="F127" s="3" t="str">
        <f>IF(ISBLANK(A127),"",Sheet1!N124)</f>
        <v/>
      </c>
      <c r="G127" s="3" t="str">
        <f>IF(ISBLANK(A127),"",Sheet1!O124)</f>
        <v/>
      </c>
      <c r="H127" s="3" t="str">
        <f t="shared" si="4"/>
        <v/>
      </c>
      <c r="I127" s="3" t="str">
        <f t="shared" si="5"/>
        <v/>
      </c>
      <c r="J127" s="3" t="str">
        <f t="shared" si="6"/>
        <v/>
      </c>
      <c r="K127" s="3" t="str">
        <f t="shared" si="7"/>
        <v/>
      </c>
    </row>
    <row r="128" spans="1:11">
      <c r="A128" s="3" t="str">
        <f>IF(LEN(Sheet1!C125)&lt;1,"",IF(LEN(Sheet1!C125)&gt;1,"Q","A"))</f>
        <v/>
      </c>
      <c r="B128" s="3" t="str">
        <f>IF(LEN(A128)&lt;1,"",Sheet1!P125)</f>
        <v/>
      </c>
      <c r="C128" s="3" t="str">
        <f>IF(LEN(A128)&lt;1,"",Sheet1!X125)</f>
        <v/>
      </c>
      <c r="E128" s="3" t="str">
        <f>IF(LEN(A128)&lt;1,"",Sheet1!M125)</f>
        <v/>
      </c>
      <c r="F128" s="3" t="str">
        <f>IF(ISBLANK(A128),"",Sheet1!N125)</f>
        <v/>
      </c>
      <c r="G128" s="3" t="str">
        <f>IF(ISBLANK(A128),"",Sheet1!O125)</f>
        <v/>
      </c>
      <c r="H128" s="3" t="str">
        <f t="shared" si="4"/>
        <v/>
      </c>
      <c r="I128" s="3" t="str">
        <f t="shared" si="5"/>
        <v/>
      </c>
      <c r="J128" s="3" t="str">
        <f t="shared" si="6"/>
        <v/>
      </c>
      <c r="K128" s="3" t="str">
        <f t="shared" si="7"/>
        <v/>
      </c>
    </row>
    <row r="129" spans="1:11">
      <c r="A129" s="3" t="str">
        <f>IF(LEN(Sheet1!C126)&lt;1,"",IF(LEN(Sheet1!C126)&gt;1,"Q","A"))</f>
        <v/>
      </c>
      <c r="B129" s="3" t="str">
        <f>IF(LEN(A129)&lt;1,"",Sheet1!P126)</f>
        <v/>
      </c>
      <c r="C129" s="3" t="str">
        <f>IF(LEN(A129)&lt;1,"",Sheet1!X126)</f>
        <v/>
      </c>
      <c r="E129" s="3" t="str">
        <f>IF(LEN(A129)&lt;1,"",Sheet1!M126)</f>
        <v/>
      </c>
      <c r="F129" s="3" t="str">
        <f>IF(ISBLANK(A129),"",Sheet1!N126)</f>
        <v/>
      </c>
      <c r="G129" s="3" t="str">
        <f>IF(ISBLANK(A129),"",Sheet1!O126)</f>
        <v/>
      </c>
      <c r="H129" s="3" t="str">
        <f t="shared" si="4"/>
        <v/>
      </c>
      <c r="I129" s="3" t="str">
        <f t="shared" si="5"/>
        <v/>
      </c>
      <c r="J129" s="3" t="str">
        <f t="shared" si="6"/>
        <v/>
      </c>
      <c r="K129" s="3" t="str">
        <f t="shared" si="7"/>
        <v/>
      </c>
    </row>
    <row r="130" spans="1:11">
      <c r="A130" s="3" t="str">
        <f>IF(LEN(Sheet1!C127)&lt;1,"",IF(LEN(Sheet1!C127)&gt;1,"Q","A"))</f>
        <v/>
      </c>
      <c r="B130" s="3" t="str">
        <f>IF(LEN(A130)&lt;1,"",Sheet1!P127)</f>
        <v/>
      </c>
      <c r="C130" s="3" t="str">
        <f>IF(LEN(A130)&lt;1,"",Sheet1!X127)</f>
        <v/>
      </c>
      <c r="E130" s="3" t="str">
        <f>IF(LEN(A130)&lt;1,"",Sheet1!M127)</f>
        <v/>
      </c>
      <c r="F130" s="3" t="str">
        <f>IF(ISBLANK(A130),"",Sheet1!N127)</f>
        <v/>
      </c>
      <c r="G130" s="3" t="str">
        <f>IF(ISBLANK(A130),"",Sheet1!O127)</f>
        <v/>
      </c>
      <c r="H130" s="3" t="str">
        <f t="shared" si="4"/>
        <v/>
      </c>
      <c r="I130" s="3" t="str">
        <f t="shared" si="5"/>
        <v/>
      </c>
      <c r="J130" s="3" t="str">
        <f t="shared" si="6"/>
        <v/>
      </c>
      <c r="K130" s="3" t="str">
        <f t="shared" si="7"/>
        <v/>
      </c>
    </row>
    <row r="131" spans="1:11">
      <c r="A131" s="3" t="str">
        <f>IF(LEN(Sheet1!C128)&lt;1,"",IF(LEN(Sheet1!C128)&gt;1,"Q","A"))</f>
        <v/>
      </c>
      <c r="B131" s="3" t="str">
        <f>IF(LEN(A131)&lt;1,"",Sheet1!P128)</f>
        <v/>
      </c>
      <c r="C131" s="3" t="str">
        <f>IF(LEN(A131)&lt;1,"",Sheet1!X128)</f>
        <v/>
      </c>
      <c r="E131" s="3" t="str">
        <f>IF(LEN(A131)&lt;1,"",Sheet1!M128)</f>
        <v/>
      </c>
      <c r="F131" s="3" t="str">
        <f>IF(ISBLANK(A131),"",Sheet1!N128)</f>
        <v/>
      </c>
      <c r="G131" s="3" t="str">
        <f>IF(ISBLANK(A131),"",Sheet1!O128)</f>
        <v/>
      </c>
      <c r="H131" s="3" t="str">
        <f t="shared" si="4"/>
        <v/>
      </c>
      <c r="I131" s="3" t="str">
        <f t="shared" si="5"/>
        <v/>
      </c>
      <c r="J131" s="3" t="str">
        <f t="shared" si="6"/>
        <v/>
      </c>
      <c r="K131" s="3" t="str">
        <f t="shared" si="7"/>
        <v/>
      </c>
    </row>
    <row r="132" spans="1:11">
      <c r="A132" s="3" t="str">
        <f>IF(LEN(Sheet1!C129)&lt;1,"",IF(LEN(Sheet1!C129)&gt;1,"Q","A"))</f>
        <v/>
      </c>
      <c r="B132" s="3" t="str">
        <f>IF(LEN(A132)&lt;1,"",Sheet1!P129)</f>
        <v/>
      </c>
      <c r="C132" s="3" t="str">
        <f>IF(LEN(A132)&lt;1,"",Sheet1!X129)</f>
        <v/>
      </c>
      <c r="E132" s="3" t="str">
        <f>IF(LEN(A132)&lt;1,"",Sheet1!M129)</f>
        <v/>
      </c>
      <c r="F132" s="3" t="str">
        <f>IF(ISBLANK(A132),"",Sheet1!N129)</f>
        <v/>
      </c>
      <c r="G132" s="3" t="str">
        <f>IF(ISBLANK(A132),"",Sheet1!O129)</f>
        <v/>
      </c>
      <c r="H132" s="3" t="str">
        <f t="shared" si="4"/>
        <v/>
      </c>
      <c r="I132" s="3" t="str">
        <f t="shared" si="5"/>
        <v/>
      </c>
      <c r="J132" s="3" t="str">
        <f t="shared" si="6"/>
        <v/>
      </c>
      <c r="K132" s="3" t="str">
        <f t="shared" si="7"/>
        <v/>
      </c>
    </row>
    <row r="133" spans="1:11">
      <c r="A133" s="3" t="str">
        <f>IF(LEN(Sheet1!C130)&lt;1,"",IF(LEN(Sheet1!C130)&gt;1,"Q","A"))</f>
        <v/>
      </c>
      <c r="B133" s="3" t="str">
        <f>IF(LEN(A133)&lt;1,"",Sheet1!P130)</f>
        <v/>
      </c>
      <c r="C133" s="3" t="str">
        <f>IF(LEN(A133)&lt;1,"",Sheet1!X130)</f>
        <v/>
      </c>
      <c r="E133" s="3" t="str">
        <f>IF(LEN(A133)&lt;1,"",Sheet1!M130)</f>
        <v/>
      </c>
      <c r="F133" s="3" t="str">
        <f>IF(ISBLANK(A133),"",Sheet1!N130)</f>
        <v/>
      </c>
      <c r="G133" s="3" t="str">
        <f>IF(ISBLANK(A133),"",Sheet1!O130)</f>
        <v/>
      </c>
      <c r="H133" s="3" t="str">
        <f t="shared" si="4"/>
        <v/>
      </c>
      <c r="I133" s="3" t="str">
        <f t="shared" si="5"/>
        <v/>
      </c>
      <c r="J133" s="3" t="str">
        <f t="shared" si="6"/>
        <v/>
      </c>
      <c r="K133" s="3" t="str">
        <f t="shared" si="7"/>
        <v/>
      </c>
    </row>
    <row r="134" spans="1:11">
      <c r="A134" s="3" t="str">
        <f>IF(LEN(Sheet1!C131)&lt;1,"",IF(LEN(Sheet1!C131)&gt;1,"Q","A"))</f>
        <v/>
      </c>
      <c r="B134" s="3" t="str">
        <f>IF(LEN(A134)&lt;1,"",Sheet1!P131)</f>
        <v/>
      </c>
      <c r="C134" s="3" t="str">
        <f>IF(LEN(A134)&lt;1,"",Sheet1!X131)</f>
        <v/>
      </c>
      <c r="E134" s="3" t="str">
        <f>IF(LEN(A134)&lt;1,"",Sheet1!M131)</f>
        <v/>
      </c>
      <c r="F134" s="3" t="str">
        <f>IF(ISBLANK(A134),"",Sheet1!N131)</f>
        <v/>
      </c>
      <c r="G134" s="3" t="str">
        <f>IF(ISBLANK(A134),"",Sheet1!O131)</f>
        <v/>
      </c>
      <c r="H134" s="3" t="str">
        <f t="shared" si="4"/>
        <v/>
      </c>
      <c r="I134" s="3" t="str">
        <f t="shared" si="5"/>
        <v/>
      </c>
      <c r="J134" s="3" t="str">
        <f t="shared" si="6"/>
        <v/>
      </c>
      <c r="K134" s="3" t="str">
        <f t="shared" si="7"/>
        <v/>
      </c>
    </row>
    <row r="135" spans="1:11">
      <c r="A135" s="3" t="str">
        <f>IF(LEN(Sheet1!C132)&lt;1,"",IF(LEN(Sheet1!C132)&gt;1,"Q","A"))</f>
        <v/>
      </c>
      <c r="B135" s="3" t="str">
        <f>IF(LEN(A135)&lt;1,"",Sheet1!P132)</f>
        <v/>
      </c>
      <c r="C135" s="3" t="str">
        <f>IF(LEN(A135)&lt;1,"",Sheet1!X132)</f>
        <v/>
      </c>
      <c r="E135" s="3" t="str">
        <f>IF(LEN(A135)&lt;1,"",Sheet1!M132)</f>
        <v/>
      </c>
      <c r="F135" s="3" t="str">
        <f>IF(ISBLANK(A135),"",Sheet1!N132)</f>
        <v/>
      </c>
      <c r="G135" s="3" t="str">
        <f>IF(ISBLANK(A135),"",Sheet1!O132)</f>
        <v/>
      </c>
      <c r="H135" s="3" t="str">
        <f t="shared" si="4"/>
        <v/>
      </c>
      <c r="I135" s="3" t="str">
        <f t="shared" si="5"/>
        <v/>
      </c>
      <c r="J135" s="3" t="str">
        <f t="shared" si="6"/>
        <v/>
      </c>
      <c r="K135" s="3" t="str">
        <f t="shared" si="7"/>
        <v/>
      </c>
    </row>
    <row r="136" spans="1:11">
      <c r="A136" s="3" t="str">
        <f>IF(LEN(Sheet1!C133)&lt;1,"",IF(LEN(Sheet1!C133)&gt;1,"Q","A"))</f>
        <v/>
      </c>
      <c r="B136" s="3" t="str">
        <f>IF(LEN(A136)&lt;1,"",Sheet1!P133)</f>
        <v/>
      </c>
      <c r="C136" s="3" t="str">
        <f>IF(LEN(A136)&lt;1,"",Sheet1!X133)</f>
        <v/>
      </c>
      <c r="E136" s="3" t="str">
        <f>IF(LEN(A136)&lt;1,"",Sheet1!M133)</f>
        <v/>
      </c>
      <c r="F136" s="3" t="str">
        <f>IF(ISBLANK(A136),"",Sheet1!N133)</f>
        <v/>
      </c>
      <c r="G136" s="3" t="str">
        <f>IF(ISBLANK(A136),"",Sheet1!O133)</f>
        <v/>
      </c>
      <c r="H136" s="3" t="str">
        <f t="shared" si="4"/>
        <v/>
      </c>
      <c r="I136" s="3" t="str">
        <f t="shared" si="5"/>
        <v/>
      </c>
      <c r="J136" s="3" t="str">
        <f t="shared" si="6"/>
        <v/>
      </c>
      <c r="K136" s="3" t="str">
        <f t="shared" si="7"/>
        <v/>
      </c>
    </row>
    <row r="137" spans="1:11">
      <c r="A137" s="3" t="str">
        <f>IF(LEN(Sheet1!C134)&lt;1,"",IF(LEN(Sheet1!C134)&gt;1,"Q","A"))</f>
        <v/>
      </c>
      <c r="B137" s="3" t="str">
        <f>IF(LEN(A137)&lt;1,"",Sheet1!P134)</f>
        <v/>
      </c>
      <c r="C137" s="3" t="str">
        <f>IF(LEN(A137)&lt;1,"",Sheet1!X134)</f>
        <v/>
      </c>
      <c r="E137" s="3" t="str">
        <f>IF(LEN(A137)&lt;1,"",Sheet1!M134)</f>
        <v/>
      </c>
      <c r="F137" s="3" t="str">
        <f>IF(ISBLANK(A137),"",Sheet1!N134)</f>
        <v/>
      </c>
      <c r="G137" s="3" t="str">
        <f>IF(ISBLANK(A137),"",Sheet1!O134)</f>
        <v/>
      </c>
      <c r="H137" s="3" t="str">
        <f t="shared" ref="H137:H200" si="8">IF(ISBLANK(A137),"",IF(A137="Q",0,""))</f>
        <v/>
      </c>
      <c r="I137" s="3" t="str">
        <f t="shared" ref="I137:I200" si="9">IF(ISBLANK(A137),"",IF(A137="Q",0,""))</f>
        <v/>
      </c>
      <c r="J137" s="3" t="str">
        <f t="shared" ref="J137:J200" si="10">IF(ISBLANK(A137),"",IF(A137="Q",0,""))</f>
        <v/>
      </c>
      <c r="K137" s="3" t="str">
        <f t="shared" ref="K137:K200" si="11">IF(ISBLANK(A137),"",IF(A137="Q",0,""))</f>
        <v/>
      </c>
    </row>
    <row r="138" spans="1:11">
      <c r="A138" s="3" t="str">
        <f>IF(LEN(Sheet1!C135)&lt;1,"",IF(LEN(Sheet1!C135)&gt;1,"Q","A"))</f>
        <v/>
      </c>
      <c r="B138" s="3" t="str">
        <f>IF(LEN(A138)&lt;1,"",Sheet1!P135)</f>
        <v/>
      </c>
      <c r="C138" s="3" t="str">
        <f>IF(LEN(A138)&lt;1,"",Sheet1!X135)</f>
        <v/>
      </c>
      <c r="E138" s="3" t="str">
        <f>IF(LEN(A138)&lt;1,"",Sheet1!M135)</f>
        <v/>
      </c>
      <c r="F138" s="3" t="str">
        <f>IF(ISBLANK(A138),"",Sheet1!N135)</f>
        <v/>
      </c>
      <c r="G138" s="3" t="str">
        <f>IF(ISBLANK(A138),"",Sheet1!O135)</f>
        <v/>
      </c>
      <c r="H138" s="3" t="str">
        <f t="shared" si="8"/>
        <v/>
      </c>
      <c r="I138" s="3" t="str">
        <f t="shared" si="9"/>
        <v/>
      </c>
      <c r="J138" s="3" t="str">
        <f t="shared" si="10"/>
        <v/>
      </c>
      <c r="K138" s="3" t="str">
        <f t="shared" si="11"/>
        <v/>
      </c>
    </row>
    <row r="139" spans="1:11">
      <c r="A139" s="3" t="str">
        <f>IF(LEN(Sheet1!C136)&lt;1,"",IF(LEN(Sheet1!C136)&gt;1,"Q","A"))</f>
        <v/>
      </c>
      <c r="B139" s="3" t="str">
        <f>IF(LEN(A139)&lt;1,"",Sheet1!P136)</f>
        <v/>
      </c>
      <c r="C139" s="3" t="str">
        <f>IF(LEN(A139)&lt;1,"",Sheet1!X136)</f>
        <v/>
      </c>
      <c r="E139" s="3" t="str">
        <f>IF(LEN(A139)&lt;1,"",Sheet1!M136)</f>
        <v/>
      </c>
      <c r="F139" s="3" t="str">
        <f>IF(ISBLANK(A139),"",Sheet1!N136)</f>
        <v/>
      </c>
      <c r="G139" s="3" t="str">
        <f>IF(ISBLANK(A139),"",Sheet1!O136)</f>
        <v/>
      </c>
      <c r="H139" s="3" t="str">
        <f t="shared" si="8"/>
        <v/>
      </c>
      <c r="I139" s="3" t="str">
        <f t="shared" si="9"/>
        <v/>
      </c>
      <c r="J139" s="3" t="str">
        <f t="shared" si="10"/>
        <v/>
      </c>
      <c r="K139" s="3" t="str">
        <f t="shared" si="11"/>
        <v/>
      </c>
    </row>
    <row r="140" spans="1:11">
      <c r="A140" s="3" t="str">
        <f>IF(LEN(Sheet1!C137)&lt;1,"",IF(LEN(Sheet1!C137)&gt;1,"Q","A"))</f>
        <v/>
      </c>
      <c r="B140" s="3" t="str">
        <f>IF(LEN(A140)&lt;1,"",Sheet1!P137)</f>
        <v/>
      </c>
      <c r="C140" s="3" t="str">
        <f>IF(LEN(A140)&lt;1,"",Sheet1!X137)</f>
        <v/>
      </c>
      <c r="E140" s="3" t="str">
        <f>IF(LEN(A140)&lt;1,"",Sheet1!M137)</f>
        <v/>
      </c>
      <c r="F140" s="3" t="str">
        <f>IF(ISBLANK(A140),"",Sheet1!N137)</f>
        <v/>
      </c>
      <c r="G140" s="3" t="str">
        <f>IF(ISBLANK(A140),"",Sheet1!O137)</f>
        <v/>
      </c>
      <c r="H140" s="3" t="str">
        <f t="shared" si="8"/>
        <v/>
      </c>
      <c r="I140" s="3" t="str">
        <f t="shared" si="9"/>
        <v/>
      </c>
      <c r="J140" s="3" t="str">
        <f t="shared" si="10"/>
        <v/>
      </c>
      <c r="K140" s="3" t="str">
        <f t="shared" si="11"/>
        <v/>
      </c>
    </row>
    <row r="141" spans="1:11">
      <c r="A141" s="3" t="str">
        <f>IF(LEN(Sheet1!C138)&lt;1,"",IF(LEN(Sheet1!C138)&gt;1,"Q","A"))</f>
        <v/>
      </c>
      <c r="B141" s="3" t="str">
        <f>IF(LEN(A141)&lt;1,"",Sheet1!P138)</f>
        <v/>
      </c>
      <c r="C141" s="3" t="str">
        <f>IF(LEN(A141)&lt;1,"",Sheet1!X138)</f>
        <v/>
      </c>
      <c r="E141" s="3" t="str">
        <f>IF(LEN(A141)&lt;1,"",Sheet1!M138)</f>
        <v/>
      </c>
      <c r="F141" s="3" t="str">
        <f>IF(ISBLANK(A141),"",Sheet1!N138)</f>
        <v/>
      </c>
      <c r="G141" s="3" t="str">
        <f>IF(ISBLANK(A141),"",Sheet1!O138)</f>
        <v/>
      </c>
      <c r="H141" s="3" t="str">
        <f t="shared" si="8"/>
        <v/>
      </c>
      <c r="I141" s="3" t="str">
        <f t="shared" si="9"/>
        <v/>
      </c>
      <c r="J141" s="3" t="str">
        <f t="shared" si="10"/>
        <v/>
      </c>
      <c r="K141" s="3" t="str">
        <f t="shared" si="11"/>
        <v/>
      </c>
    </row>
    <row r="142" spans="1:11">
      <c r="A142" s="3" t="str">
        <f>IF(LEN(Sheet1!C139)&lt;1,"",IF(LEN(Sheet1!C139)&gt;1,"Q","A"))</f>
        <v/>
      </c>
      <c r="B142" s="3" t="str">
        <f>IF(LEN(A142)&lt;1,"",Sheet1!P139)</f>
        <v/>
      </c>
      <c r="C142" s="3" t="str">
        <f>IF(LEN(A142)&lt;1,"",Sheet1!X139)</f>
        <v/>
      </c>
      <c r="E142" s="3" t="str">
        <f>IF(LEN(A142)&lt;1,"",Sheet1!M139)</f>
        <v/>
      </c>
      <c r="F142" s="3" t="str">
        <f>IF(ISBLANK(A142),"",Sheet1!N139)</f>
        <v/>
      </c>
      <c r="G142" s="3" t="str">
        <f>IF(ISBLANK(A142),"",Sheet1!O139)</f>
        <v/>
      </c>
      <c r="H142" s="3" t="str">
        <f t="shared" si="8"/>
        <v/>
      </c>
      <c r="I142" s="3" t="str">
        <f t="shared" si="9"/>
        <v/>
      </c>
      <c r="J142" s="3" t="str">
        <f t="shared" si="10"/>
        <v/>
      </c>
      <c r="K142" s="3" t="str">
        <f t="shared" si="11"/>
        <v/>
      </c>
    </row>
    <row r="143" spans="1:11">
      <c r="A143" s="3" t="str">
        <f>IF(LEN(Sheet1!C140)&lt;1,"",IF(LEN(Sheet1!C140)&gt;1,"Q","A"))</f>
        <v/>
      </c>
      <c r="B143" s="3" t="str">
        <f>IF(LEN(A143)&lt;1,"",Sheet1!P140)</f>
        <v/>
      </c>
      <c r="C143" s="3" t="str">
        <f>IF(LEN(A143)&lt;1,"",Sheet1!X140)</f>
        <v/>
      </c>
      <c r="E143" s="3" t="str">
        <f>IF(LEN(A143)&lt;1,"",Sheet1!M140)</f>
        <v/>
      </c>
      <c r="F143" s="3" t="str">
        <f>IF(ISBLANK(A143),"",Sheet1!N140)</f>
        <v/>
      </c>
      <c r="G143" s="3" t="str">
        <f>IF(ISBLANK(A143),"",Sheet1!O140)</f>
        <v/>
      </c>
      <c r="H143" s="3" t="str">
        <f t="shared" si="8"/>
        <v/>
      </c>
      <c r="I143" s="3" t="str">
        <f t="shared" si="9"/>
        <v/>
      </c>
      <c r="J143" s="3" t="str">
        <f t="shared" si="10"/>
        <v/>
      </c>
      <c r="K143" s="3" t="str">
        <f t="shared" si="11"/>
        <v/>
      </c>
    </row>
    <row r="144" spans="1:11">
      <c r="A144" s="3" t="str">
        <f>IF(LEN(Sheet1!C141)&lt;1,"",IF(LEN(Sheet1!C141)&gt;1,"Q","A"))</f>
        <v/>
      </c>
      <c r="B144" s="3" t="str">
        <f>IF(LEN(A144)&lt;1,"",Sheet1!P141)</f>
        <v/>
      </c>
      <c r="C144" s="3" t="str">
        <f>IF(LEN(A144)&lt;1,"",Sheet1!X141)</f>
        <v/>
      </c>
      <c r="E144" s="3" t="str">
        <f>IF(LEN(A144)&lt;1,"",Sheet1!M141)</f>
        <v/>
      </c>
      <c r="F144" s="3" t="str">
        <f>IF(ISBLANK(A144),"",Sheet1!N141)</f>
        <v/>
      </c>
      <c r="G144" s="3" t="str">
        <f>IF(ISBLANK(A144),"",Sheet1!O141)</f>
        <v/>
      </c>
      <c r="H144" s="3" t="str">
        <f t="shared" si="8"/>
        <v/>
      </c>
      <c r="I144" s="3" t="str">
        <f t="shared" si="9"/>
        <v/>
      </c>
      <c r="J144" s="3" t="str">
        <f t="shared" si="10"/>
        <v/>
      </c>
      <c r="K144" s="3" t="str">
        <f t="shared" si="11"/>
        <v/>
      </c>
    </row>
    <row r="145" spans="1:11">
      <c r="A145" s="3" t="str">
        <f>IF(LEN(Sheet1!C142)&lt;1,"",IF(LEN(Sheet1!C142)&gt;1,"Q","A"))</f>
        <v/>
      </c>
      <c r="B145" s="3" t="str">
        <f>IF(LEN(A145)&lt;1,"",Sheet1!P142)</f>
        <v/>
      </c>
      <c r="C145" s="3" t="str">
        <f>IF(LEN(A145)&lt;1,"",Sheet1!X142)</f>
        <v/>
      </c>
      <c r="E145" s="3" t="str">
        <f>IF(LEN(A145)&lt;1,"",Sheet1!M142)</f>
        <v/>
      </c>
      <c r="F145" s="3" t="str">
        <f>IF(ISBLANK(A145),"",Sheet1!N142)</f>
        <v/>
      </c>
      <c r="G145" s="3" t="str">
        <f>IF(ISBLANK(A145),"",Sheet1!O142)</f>
        <v/>
      </c>
      <c r="H145" s="3" t="str">
        <f t="shared" si="8"/>
        <v/>
      </c>
      <c r="I145" s="3" t="str">
        <f t="shared" si="9"/>
        <v/>
      </c>
      <c r="J145" s="3" t="str">
        <f t="shared" si="10"/>
        <v/>
      </c>
      <c r="K145" s="3" t="str">
        <f t="shared" si="11"/>
        <v/>
      </c>
    </row>
    <row r="146" spans="1:11">
      <c r="A146" s="3" t="str">
        <f>IF(LEN(Sheet1!C143)&lt;1,"",IF(LEN(Sheet1!C143)&gt;1,"Q","A"))</f>
        <v/>
      </c>
      <c r="B146" s="3" t="str">
        <f>IF(LEN(A146)&lt;1,"",Sheet1!P143)</f>
        <v/>
      </c>
      <c r="C146" s="3" t="str">
        <f>IF(LEN(A146)&lt;1,"",Sheet1!X143)</f>
        <v/>
      </c>
      <c r="E146" s="3" t="str">
        <f>IF(LEN(A146)&lt;1,"",Sheet1!M143)</f>
        <v/>
      </c>
      <c r="F146" s="3" t="str">
        <f>IF(ISBLANK(A146),"",Sheet1!N143)</f>
        <v/>
      </c>
      <c r="G146" s="3" t="str">
        <f>IF(ISBLANK(A146),"",Sheet1!O143)</f>
        <v/>
      </c>
      <c r="H146" s="3" t="str">
        <f t="shared" si="8"/>
        <v/>
      </c>
      <c r="I146" s="3" t="str">
        <f t="shared" si="9"/>
        <v/>
      </c>
      <c r="J146" s="3" t="str">
        <f t="shared" si="10"/>
        <v/>
      </c>
      <c r="K146" s="3" t="str">
        <f t="shared" si="11"/>
        <v/>
      </c>
    </row>
    <row r="147" spans="1:11">
      <c r="A147" s="3" t="str">
        <f>IF(LEN(Sheet1!C144)&lt;1,"",IF(LEN(Sheet1!C144)&gt;1,"Q","A"))</f>
        <v/>
      </c>
      <c r="B147" s="3" t="str">
        <f>IF(LEN(A147)&lt;1,"",Sheet1!P144)</f>
        <v/>
      </c>
      <c r="C147" s="3" t="str">
        <f>IF(LEN(A147)&lt;1,"",Sheet1!X144)</f>
        <v/>
      </c>
      <c r="E147" s="3" t="str">
        <f>IF(LEN(A147)&lt;1,"",Sheet1!M144)</f>
        <v/>
      </c>
      <c r="F147" s="3" t="str">
        <f>IF(ISBLANK(A147),"",Sheet1!N144)</f>
        <v/>
      </c>
      <c r="G147" s="3" t="str">
        <f>IF(ISBLANK(A147),"",Sheet1!O144)</f>
        <v/>
      </c>
      <c r="H147" s="3" t="str">
        <f t="shared" si="8"/>
        <v/>
      </c>
      <c r="I147" s="3" t="str">
        <f t="shared" si="9"/>
        <v/>
      </c>
      <c r="J147" s="3" t="str">
        <f t="shared" si="10"/>
        <v/>
      </c>
      <c r="K147" s="3" t="str">
        <f t="shared" si="11"/>
        <v/>
      </c>
    </row>
    <row r="148" spans="1:11">
      <c r="A148" s="3" t="str">
        <f>IF(LEN(Sheet1!C145)&lt;1,"",IF(LEN(Sheet1!C145)&gt;1,"Q","A"))</f>
        <v/>
      </c>
      <c r="B148" s="3" t="str">
        <f>IF(LEN(A148)&lt;1,"",Sheet1!P145)</f>
        <v/>
      </c>
      <c r="C148" s="3" t="str">
        <f>IF(LEN(A148)&lt;1,"",Sheet1!X145)</f>
        <v/>
      </c>
      <c r="E148" s="3" t="str">
        <f>IF(LEN(A148)&lt;1,"",Sheet1!M145)</f>
        <v/>
      </c>
      <c r="F148" s="3" t="str">
        <f>IF(ISBLANK(A148),"",Sheet1!N145)</f>
        <v/>
      </c>
      <c r="G148" s="3" t="str">
        <f>IF(ISBLANK(A148),"",Sheet1!O145)</f>
        <v/>
      </c>
      <c r="H148" s="3" t="str">
        <f t="shared" si="8"/>
        <v/>
      </c>
      <c r="I148" s="3" t="str">
        <f t="shared" si="9"/>
        <v/>
      </c>
      <c r="J148" s="3" t="str">
        <f t="shared" si="10"/>
        <v/>
      </c>
      <c r="K148" s="3" t="str">
        <f t="shared" si="11"/>
        <v/>
      </c>
    </row>
    <row r="149" spans="1:11">
      <c r="A149" s="3" t="str">
        <f>IF(LEN(Sheet1!C146)&lt;1,"",IF(LEN(Sheet1!C146)&gt;1,"Q","A"))</f>
        <v/>
      </c>
      <c r="B149" s="3" t="str">
        <f>IF(LEN(A149)&lt;1,"",Sheet1!P146)</f>
        <v/>
      </c>
      <c r="C149" s="3" t="str">
        <f>IF(LEN(A149)&lt;1,"",Sheet1!X146)</f>
        <v/>
      </c>
      <c r="E149" s="3" t="str">
        <f>IF(LEN(A149)&lt;1,"",Sheet1!M146)</f>
        <v/>
      </c>
      <c r="F149" s="3" t="str">
        <f>IF(ISBLANK(A149),"",Sheet1!N146)</f>
        <v/>
      </c>
      <c r="G149" s="3" t="str">
        <f>IF(ISBLANK(A149),"",Sheet1!O146)</f>
        <v/>
      </c>
      <c r="H149" s="3" t="str">
        <f t="shared" si="8"/>
        <v/>
      </c>
      <c r="I149" s="3" t="str">
        <f t="shared" si="9"/>
        <v/>
      </c>
      <c r="J149" s="3" t="str">
        <f t="shared" si="10"/>
        <v/>
      </c>
      <c r="K149" s="3" t="str">
        <f t="shared" si="11"/>
        <v/>
      </c>
    </row>
    <row r="150" spans="1:11">
      <c r="A150" s="3" t="str">
        <f>IF(LEN(Sheet1!C147)&lt;1,"",IF(LEN(Sheet1!C147)&gt;1,"Q","A"))</f>
        <v/>
      </c>
      <c r="B150" s="3" t="str">
        <f>IF(LEN(A150)&lt;1,"",Sheet1!P147)</f>
        <v/>
      </c>
      <c r="C150" s="3" t="str">
        <f>IF(LEN(A150)&lt;1,"",Sheet1!X147)</f>
        <v/>
      </c>
      <c r="E150" s="3" t="str">
        <f>IF(LEN(A150)&lt;1,"",Sheet1!M147)</f>
        <v/>
      </c>
      <c r="F150" s="3" t="str">
        <f>IF(ISBLANK(A150),"",Sheet1!N147)</f>
        <v/>
      </c>
      <c r="G150" s="3" t="str">
        <f>IF(ISBLANK(A150),"",Sheet1!O147)</f>
        <v/>
      </c>
      <c r="H150" s="3" t="str">
        <f t="shared" si="8"/>
        <v/>
      </c>
      <c r="I150" s="3" t="str">
        <f t="shared" si="9"/>
        <v/>
      </c>
      <c r="J150" s="3" t="str">
        <f t="shared" si="10"/>
        <v/>
      </c>
      <c r="K150" s="3" t="str">
        <f t="shared" si="11"/>
        <v/>
      </c>
    </row>
    <row r="151" spans="1:11">
      <c r="A151" s="3" t="str">
        <f>IF(LEN(Sheet1!C148)&lt;1,"",IF(LEN(Sheet1!C148)&gt;1,"Q","A"))</f>
        <v/>
      </c>
      <c r="B151" s="3" t="str">
        <f>IF(LEN(A151)&lt;1,"",Sheet1!P148)</f>
        <v/>
      </c>
      <c r="C151" s="3" t="str">
        <f>IF(LEN(A151)&lt;1,"",Sheet1!X148)</f>
        <v/>
      </c>
      <c r="E151" s="3" t="str">
        <f>IF(LEN(A151)&lt;1,"",Sheet1!M148)</f>
        <v/>
      </c>
      <c r="F151" s="3" t="str">
        <f>IF(ISBLANK(A151),"",Sheet1!N148)</f>
        <v/>
      </c>
      <c r="G151" s="3" t="str">
        <f>IF(ISBLANK(A151),"",Sheet1!O148)</f>
        <v/>
      </c>
      <c r="H151" s="3" t="str">
        <f t="shared" si="8"/>
        <v/>
      </c>
      <c r="I151" s="3" t="str">
        <f t="shared" si="9"/>
        <v/>
      </c>
      <c r="J151" s="3" t="str">
        <f t="shared" si="10"/>
        <v/>
      </c>
      <c r="K151" s="3" t="str">
        <f t="shared" si="11"/>
        <v/>
      </c>
    </row>
    <row r="152" spans="1:11">
      <c r="A152" s="3" t="str">
        <f>IF(LEN(Sheet1!C149)&lt;1,"",IF(LEN(Sheet1!C149)&gt;1,"Q","A"))</f>
        <v/>
      </c>
      <c r="B152" s="3" t="str">
        <f>IF(LEN(A152)&lt;1,"",Sheet1!P149)</f>
        <v/>
      </c>
      <c r="C152" s="3" t="str">
        <f>IF(LEN(A152)&lt;1,"",Sheet1!X149)</f>
        <v/>
      </c>
      <c r="E152" s="3" t="str">
        <f>IF(LEN(A152)&lt;1,"",Sheet1!M149)</f>
        <v/>
      </c>
      <c r="F152" s="3" t="str">
        <f>IF(ISBLANK(A152),"",Sheet1!N149)</f>
        <v/>
      </c>
      <c r="G152" s="3" t="str">
        <f>IF(ISBLANK(A152),"",Sheet1!O149)</f>
        <v/>
      </c>
      <c r="H152" s="3" t="str">
        <f t="shared" si="8"/>
        <v/>
      </c>
      <c r="I152" s="3" t="str">
        <f t="shared" si="9"/>
        <v/>
      </c>
      <c r="J152" s="3" t="str">
        <f t="shared" si="10"/>
        <v/>
      </c>
      <c r="K152" s="3" t="str">
        <f t="shared" si="11"/>
        <v/>
      </c>
    </row>
    <row r="153" spans="1:11">
      <c r="A153" s="3" t="str">
        <f>IF(LEN(Sheet1!C150)&lt;1,"",IF(LEN(Sheet1!C150)&gt;1,"Q","A"))</f>
        <v/>
      </c>
      <c r="B153" s="3" t="str">
        <f>IF(LEN(A153)&lt;1,"",Sheet1!P150)</f>
        <v/>
      </c>
      <c r="C153" s="3" t="str">
        <f>IF(LEN(A153)&lt;1,"",Sheet1!X150)</f>
        <v/>
      </c>
      <c r="E153" s="3" t="str">
        <f>IF(LEN(A153)&lt;1,"",Sheet1!M150)</f>
        <v/>
      </c>
      <c r="F153" s="3" t="str">
        <f>IF(ISBLANK(A153),"",Sheet1!N150)</f>
        <v/>
      </c>
      <c r="G153" s="3" t="str">
        <f>IF(ISBLANK(A153),"",Sheet1!O150)</f>
        <v/>
      </c>
      <c r="H153" s="3" t="str">
        <f t="shared" si="8"/>
        <v/>
      </c>
      <c r="I153" s="3" t="str">
        <f t="shared" si="9"/>
        <v/>
      </c>
      <c r="J153" s="3" t="str">
        <f t="shared" si="10"/>
        <v/>
      </c>
      <c r="K153" s="3" t="str">
        <f t="shared" si="11"/>
        <v/>
      </c>
    </row>
    <row r="154" spans="1:11">
      <c r="A154" s="3" t="str">
        <f>IF(LEN(Sheet1!C151)&lt;1,"",IF(LEN(Sheet1!C151)&gt;1,"Q","A"))</f>
        <v/>
      </c>
      <c r="B154" s="3" t="str">
        <f>IF(LEN(A154)&lt;1,"",Sheet1!P151)</f>
        <v/>
      </c>
      <c r="C154" s="3" t="str">
        <f>IF(LEN(A154)&lt;1,"",Sheet1!X151)</f>
        <v/>
      </c>
      <c r="E154" s="3" t="str">
        <f>IF(LEN(A154)&lt;1,"",Sheet1!M151)</f>
        <v/>
      </c>
      <c r="F154" s="3" t="str">
        <f>IF(ISBLANK(A154),"",Sheet1!N151)</f>
        <v/>
      </c>
      <c r="G154" s="3" t="str">
        <f>IF(ISBLANK(A154),"",Sheet1!O151)</f>
        <v/>
      </c>
      <c r="H154" s="3" t="str">
        <f t="shared" si="8"/>
        <v/>
      </c>
      <c r="I154" s="3" t="str">
        <f t="shared" si="9"/>
        <v/>
      </c>
      <c r="J154" s="3" t="str">
        <f t="shared" si="10"/>
        <v/>
      </c>
      <c r="K154" s="3" t="str">
        <f t="shared" si="11"/>
        <v/>
      </c>
    </row>
    <row r="155" spans="1:11">
      <c r="A155" s="3" t="str">
        <f>IF(LEN(Sheet1!C152)&lt;1,"",IF(LEN(Sheet1!C152)&gt;1,"Q","A"))</f>
        <v/>
      </c>
      <c r="B155" s="3" t="str">
        <f>IF(LEN(A155)&lt;1,"",Sheet1!P152)</f>
        <v/>
      </c>
      <c r="C155" s="3" t="str">
        <f>IF(LEN(A155)&lt;1,"",Sheet1!X152)</f>
        <v/>
      </c>
      <c r="E155" s="3" t="str">
        <f>IF(LEN(A155)&lt;1,"",Sheet1!M152)</f>
        <v/>
      </c>
      <c r="F155" s="3" t="str">
        <f>IF(ISBLANK(A155),"",Sheet1!N152)</f>
        <v/>
      </c>
      <c r="G155" s="3" t="str">
        <f>IF(ISBLANK(A155),"",Sheet1!O152)</f>
        <v/>
      </c>
      <c r="H155" s="3" t="str">
        <f t="shared" si="8"/>
        <v/>
      </c>
      <c r="I155" s="3" t="str">
        <f t="shared" si="9"/>
        <v/>
      </c>
      <c r="J155" s="3" t="str">
        <f t="shared" si="10"/>
        <v/>
      </c>
      <c r="K155" s="3" t="str">
        <f t="shared" si="11"/>
        <v/>
      </c>
    </row>
    <row r="156" spans="1:11">
      <c r="A156" s="3" t="str">
        <f>IF(LEN(Sheet1!C153)&lt;1,"",IF(LEN(Sheet1!C153)&gt;1,"Q","A"))</f>
        <v/>
      </c>
      <c r="B156" s="3" t="str">
        <f>IF(LEN(A156)&lt;1,"",Sheet1!P153)</f>
        <v/>
      </c>
      <c r="C156" s="3" t="str">
        <f>IF(LEN(A156)&lt;1,"",Sheet1!X153)</f>
        <v/>
      </c>
      <c r="E156" s="3" t="str">
        <f>IF(LEN(A156)&lt;1,"",Sheet1!M153)</f>
        <v/>
      </c>
      <c r="F156" s="3" t="str">
        <f>IF(ISBLANK(A156),"",Sheet1!N153)</f>
        <v/>
      </c>
      <c r="G156" s="3" t="str">
        <f>IF(ISBLANK(A156),"",Sheet1!O153)</f>
        <v/>
      </c>
      <c r="H156" s="3" t="str">
        <f t="shared" si="8"/>
        <v/>
      </c>
      <c r="I156" s="3" t="str">
        <f t="shared" si="9"/>
        <v/>
      </c>
      <c r="J156" s="3" t="str">
        <f t="shared" si="10"/>
        <v/>
      </c>
      <c r="K156" s="3" t="str">
        <f t="shared" si="11"/>
        <v/>
      </c>
    </row>
    <row r="157" spans="1:11">
      <c r="A157" s="3" t="str">
        <f>IF(LEN(Sheet1!C154)&lt;1,"",IF(LEN(Sheet1!C154)&gt;1,"Q","A"))</f>
        <v/>
      </c>
      <c r="B157" s="3" t="str">
        <f>IF(LEN(A157)&lt;1,"",Sheet1!P154)</f>
        <v/>
      </c>
      <c r="C157" s="3" t="str">
        <f>IF(LEN(A157)&lt;1,"",Sheet1!X154)</f>
        <v/>
      </c>
      <c r="E157" s="3" t="str">
        <f>IF(LEN(A157)&lt;1,"",Sheet1!M154)</f>
        <v/>
      </c>
      <c r="F157" s="3" t="str">
        <f>IF(ISBLANK(A157),"",Sheet1!N154)</f>
        <v/>
      </c>
      <c r="G157" s="3" t="str">
        <f>IF(ISBLANK(A157),"",Sheet1!O154)</f>
        <v/>
      </c>
      <c r="H157" s="3" t="str">
        <f t="shared" si="8"/>
        <v/>
      </c>
      <c r="I157" s="3" t="str">
        <f t="shared" si="9"/>
        <v/>
      </c>
      <c r="J157" s="3" t="str">
        <f t="shared" si="10"/>
        <v/>
      </c>
      <c r="K157" s="3" t="str">
        <f t="shared" si="11"/>
        <v/>
      </c>
    </row>
    <row r="158" spans="1:11">
      <c r="A158" s="3" t="str">
        <f>IF(LEN(Sheet1!C155)&lt;1,"",IF(LEN(Sheet1!C155)&gt;1,"Q","A"))</f>
        <v/>
      </c>
      <c r="B158" s="3" t="str">
        <f>IF(LEN(A158)&lt;1,"",Sheet1!P155)</f>
        <v/>
      </c>
      <c r="C158" s="3" t="str">
        <f>IF(LEN(A158)&lt;1,"",Sheet1!X155)</f>
        <v/>
      </c>
      <c r="E158" s="3" t="str">
        <f>IF(LEN(A158)&lt;1,"",Sheet1!M155)</f>
        <v/>
      </c>
      <c r="F158" s="3" t="str">
        <f>IF(ISBLANK(A158),"",Sheet1!N155)</f>
        <v/>
      </c>
      <c r="G158" s="3" t="str">
        <f>IF(ISBLANK(A158),"",Sheet1!O155)</f>
        <v/>
      </c>
      <c r="H158" s="3" t="str">
        <f t="shared" si="8"/>
        <v/>
      </c>
      <c r="I158" s="3" t="str">
        <f t="shared" si="9"/>
        <v/>
      </c>
      <c r="J158" s="3" t="str">
        <f t="shared" si="10"/>
        <v/>
      </c>
      <c r="K158" s="3" t="str">
        <f t="shared" si="11"/>
        <v/>
      </c>
    </row>
    <row r="159" spans="1:11">
      <c r="A159" s="3" t="str">
        <f>IF(LEN(Sheet1!C156)&lt;1,"",IF(LEN(Sheet1!C156)&gt;1,"Q","A"))</f>
        <v/>
      </c>
      <c r="B159" s="3" t="str">
        <f>IF(LEN(A159)&lt;1,"",Sheet1!P156)</f>
        <v/>
      </c>
      <c r="C159" s="3" t="str">
        <f>IF(LEN(A159)&lt;1,"",Sheet1!X156)</f>
        <v/>
      </c>
      <c r="E159" s="3" t="str">
        <f>IF(LEN(A159)&lt;1,"",Sheet1!M156)</f>
        <v/>
      </c>
      <c r="F159" s="3" t="str">
        <f>IF(ISBLANK(A159),"",Sheet1!N156)</f>
        <v/>
      </c>
      <c r="G159" s="3" t="str">
        <f>IF(ISBLANK(A159),"",Sheet1!O156)</f>
        <v/>
      </c>
      <c r="H159" s="3" t="str">
        <f t="shared" si="8"/>
        <v/>
      </c>
      <c r="I159" s="3" t="str">
        <f t="shared" si="9"/>
        <v/>
      </c>
      <c r="J159" s="3" t="str">
        <f t="shared" si="10"/>
        <v/>
      </c>
      <c r="K159" s="3" t="str">
        <f t="shared" si="11"/>
        <v/>
      </c>
    </row>
    <row r="160" spans="1:11">
      <c r="A160" s="3" t="str">
        <f>IF(LEN(Sheet1!C157)&lt;1,"",IF(LEN(Sheet1!C157)&gt;1,"Q","A"))</f>
        <v/>
      </c>
      <c r="B160" s="3" t="str">
        <f>IF(LEN(A160)&lt;1,"",Sheet1!P157)</f>
        <v/>
      </c>
      <c r="C160" s="3" t="str">
        <f>IF(LEN(A160)&lt;1,"",Sheet1!X157)</f>
        <v/>
      </c>
      <c r="E160" s="3" t="str">
        <f>IF(LEN(A160)&lt;1,"",Sheet1!M157)</f>
        <v/>
      </c>
      <c r="F160" s="3" t="str">
        <f>IF(ISBLANK(A160),"",Sheet1!N157)</f>
        <v/>
      </c>
      <c r="G160" s="3" t="str">
        <f>IF(ISBLANK(A160),"",Sheet1!O157)</f>
        <v/>
      </c>
      <c r="H160" s="3" t="str">
        <f t="shared" si="8"/>
        <v/>
      </c>
      <c r="I160" s="3" t="str">
        <f t="shared" si="9"/>
        <v/>
      </c>
      <c r="J160" s="3" t="str">
        <f t="shared" si="10"/>
        <v/>
      </c>
      <c r="K160" s="3" t="str">
        <f t="shared" si="11"/>
        <v/>
      </c>
    </row>
    <row r="161" spans="1:11">
      <c r="A161" s="3" t="str">
        <f>IF(LEN(Sheet1!C158)&lt;1,"",IF(LEN(Sheet1!C158)&gt;1,"Q","A"))</f>
        <v/>
      </c>
      <c r="B161" s="3" t="str">
        <f>IF(LEN(A161)&lt;1,"",Sheet1!P158)</f>
        <v/>
      </c>
      <c r="C161" s="3" t="str">
        <f>IF(LEN(A161)&lt;1,"",Sheet1!X158)</f>
        <v/>
      </c>
      <c r="E161" s="3" t="str">
        <f>IF(LEN(A161)&lt;1,"",Sheet1!M158)</f>
        <v/>
      </c>
      <c r="F161" s="3" t="str">
        <f>IF(ISBLANK(A161),"",Sheet1!N158)</f>
        <v/>
      </c>
      <c r="G161" s="3" t="str">
        <f>IF(ISBLANK(A161),"",Sheet1!O158)</f>
        <v/>
      </c>
      <c r="H161" s="3" t="str">
        <f t="shared" si="8"/>
        <v/>
      </c>
      <c r="I161" s="3" t="str">
        <f t="shared" si="9"/>
        <v/>
      </c>
      <c r="J161" s="3" t="str">
        <f t="shared" si="10"/>
        <v/>
      </c>
      <c r="K161" s="3" t="str">
        <f t="shared" si="11"/>
        <v/>
      </c>
    </row>
    <row r="162" spans="1:11">
      <c r="A162" s="3" t="str">
        <f>IF(LEN(Sheet1!C159)&lt;1,"",IF(LEN(Sheet1!C159)&gt;1,"Q","A"))</f>
        <v/>
      </c>
      <c r="B162" s="3" t="str">
        <f>IF(LEN(A162)&lt;1,"",Sheet1!P159)</f>
        <v/>
      </c>
      <c r="C162" s="3" t="str">
        <f>IF(LEN(A162)&lt;1,"",Sheet1!X159)</f>
        <v/>
      </c>
      <c r="E162" s="3" t="str">
        <f>IF(LEN(A162)&lt;1,"",Sheet1!M159)</f>
        <v/>
      </c>
      <c r="F162" s="3" t="str">
        <f>IF(ISBLANK(A162),"",Sheet1!N159)</f>
        <v/>
      </c>
      <c r="G162" s="3" t="str">
        <f>IF(ISBLANK(A162),"",Sheet1!O159)</f>
        <v/>
      </c>
      <c r="H162" s="3" t="str">
        <f t="shared" si="8"/>
        <v/>
      </c>
      <c r="I162" s="3" t="str">
        <f t="shared" si="9"/>
        <v/>
      </c>
      <c r="J162" s="3" t="str">
        <f t="shared" si="10"/>
        <v/>
      </c>
      <c r="K162" s="3" t="str">
        <f t="shared" si="11"/>
        <v/>
      </c>
    </row>
    <row r="163" spans="1:11">
      <c r="A163" s="3" t="str">
        <f>IF(LEN(Sheet1!C160)&lt;1,"",IF(LEN(Sheet1!C160)&gt;1,"Q","A"))</f>
        <v/>
      </c>
      <c r="B163" s="3" t="str">
        <f>IF(LEN(A163)&lt;1,"",Sheet1!P160)</f>
        <v/>
      </c>
      <c r="C163" s="3" t="str">
        <f>IF(LEN(A163)&lt;1,"",Sheet1!X160)</f>
        <v/>
      </c>
      <c r="E163" s="3" t="str">
        <f>IF(LEN(A163)&lt;1,"",Sheet1!M160)</f>
        <v/>
      </c>
      <c r="F163" s="3" t="str">
        <f>IF(ISBLANK(A163),"",Sheet1!N160)</f>
        <v/>
      </c>
      <c r="G163" s="3" t="str">
        <f>IF(ISBLANK(A163),"",Sheet1!O160)</f>
        <v/>
      </c>
      <c r="H163" s="3" t="str">
        <f t="shared" si="8"/>
        <v/>
      </c>
      <c r="I163" s="3" t="str">
        <f t="shared" si="9"/>
        <v/>
      </c>
      <c r="J163" s="3" t="str">
        <f t="shared" si="10"/>
        <v/>
      </c>
      <c r="K163" s="3" t="str">
        <f t="shared" si="11"/>
        <v/>
      </c>
    </row>
    <row r="164" spans="1:11">
      <c r="A164" s="3" t="str">
        <f>IF(LEN(Sheet1!C161)&lt;1,"",IF(LEN(Sheet1!C161)&gt;1,"Q","A"))</f>
        <v/>
      </c>
      <c r="B164" s="3" t="str">
        <f>IF(LEN(A164)&lt;1,"",Sheet1!P161)</f>
        <v/>
      </c>
      <c r="C164" s="3" t="str">
        <f>IF(LEN(A164)&lt;1,"",Sheet1!X161)</f>
        <v/>
      </c>
      <c r="E164" s="3" t="str">
        <f>IF(LEN(A164)&lt;1,"",Sheet1!M161)</f>
        <v/>
      </c>
      <c r="F164" s="3" t="str">
        <f>IF(ISBLANK(A164),"",Sheet1!N161)</f>
        <v/>
      </c>
      <c r="G164" s="3" t="str">
        <f>IF(ISBLANK(A164),"",Sheet1!O161)</f>
        <v/>
      </c>
      <c r="H164" s="3" t="str">
        <f t="shared" si="8"/>
        <v/>
      </c>
      <c r="I164" s="3" t="str">
        <f t="shared" si="9"/>
        <v/>
      </c>
      <c r="J164" s="3" t="str">
        <f t="shared" si="10"/>
        <v/>
      </c>
      <c r="K164" s="3" t="str">
        <f t="shared" si="11"/>
        <v/>
      </c>
    </row>
    <row r="165" spans="1:11">
      <c r="A165" s="3" t="str">
        <f>IF(LEN(Sheet1!C162)&lt;1,"",IF(LEN(Sheet1!C162)&gt;1,"Q","A"))</f>
        <v/>
      </c>
      <c r="B165" s="3" t="str">
        <f>IF(LEN(A165)&lt;1,"",Sheet1!P162)</f>
        <v/>
      </c>
      <c r="C165" s="3" t="str">
        <f>IF(LEN(A165)&lt;1,"",Sheet1!X162)</f>
        <v/>
      </c>
      <c r="E165" s="3" t="str">
        <f>IF(LEN(A165)&lt;1,"",Sheet1!M162)</f>
        <v/>
      </c>
      <c r="F165" s="3" t="str">
        <f>IF(ISBLANK(A165),"",Sheet1!N162)</f>
        <v/>
      </c>
      <c r="G165" s="3" t="str">
        <f>IF(ISBLANK(A165),"",Sheet1!O162)</f>
        <v/>
      </c>
      <c r="H165" s="3" t="str">
        <f t="shared" si="8"/>
        <v/>
      </c>
      <c r="I165" s="3" t="str">
        <f t="shared" si="9"/>
        <v/>
      </c>
      <c r="J165" s="3" t="str">
        <f t="shared" si="10"/>
        <v/>
      </c>
      <c r="K165" s="3" t="str">
        <f t="shared" si="11"/>
        <v/>
      </c>
    </row>
    <row r="166" spans="1:11">
      <c r="A166" s="3" t="str">
        <f>IF(LEN(Sheet1!C163)&lt;1,"",IF(LEN(Sheet1!C163)&gt;1,"Q","A"))</f>
        <v/>
      </c>
      <c r="B166" s="3" t="str">
        <f>IF(LEN(A166)&lt;1,"",Sheet1!P163)</f>
        <v/>
      </c>
      <c r="C166" s="3" t="str">
        <f>IF(LEN(A166)&lt;1,"",Sheet1!X163)</f>
        <v/>
      </c>
      <c r="E166" s="3" t="str">
        <f>IF(LEN(A166)&lt;1,"",Sheet1!M163)</f>
        <v/>
      </c>
      <c r="F166" s="3" t="str">
        <f>IF(ISBLANK(A166),"",Sheet1!N163)</f>
        <v/>
      </c>
      <c r="G166" s="3" t="str">
        <f>IF(ISBLANK(A166),"",Sheet1!O163)</f>
        <v/>
      </c>
      <c r="H166" s="3" t="str">
        <f t="shared" si="8"/>
        <v/>
      </c>
      <c r="I166" s="3" t="str">
        <f t="shared" si="9"/>
        <v/>
      </c>
      <c r="J166" s="3" t="str">
        <f t="shared" si="10"/>
        <v/>
      </c>
      <c r="K166" s="3" t="str">
        <f t="shared" si="11"/>
        <v/>
      </c>
    </row>
    <row r="167" spans="1:11">
      <c r="A167" s="3" t="str">
        <f>IF(LEN(Sheet1!C164)&lt;1,"",IF(LEN(Sheet1!C164)&gt;1,"Q","A"))</f>
        <v/>
      </c>
      <c r="B167" s="3" t="str">
        <f>IF(LEN(A167)&lt;1,"",Sheet1!P164)</f>
        <v/>
      </c>
      <c r="C167" s="3" t="str">
        <f>IF(LEN(A167)&lt;1,"",Sheet1!X164)</f>
        <v/>
      </c>
      <c r="E167" s="3" t="str">
        <f>IF(LEN(A167)&lt;1,"",Sheet1!M164)</f>
        <v/>
      </c>
      <c r="F167" s="3" t="str">
        <f>IF(ISBLANK(A167),"",Sheet1!N164)</f>
        <v/>
      </c>
      <c r="G167" s="3" t="str">
        <f>IF(ISBLANK(A167),"",Sheet1!O164)</f>
        <v/>
      </c>
      <c r="H167" s="3" t="str">
        <f t="shared" si="8"/>
        <v/>
      </c>
      <c r="I167" s="3" t="str">
        <f t="shared" si="9"/>
        <v/>
      </c>
      <c r="J167" s="3" t="str">
        <f t="shared" si="10"/>
        <v/>
      </c>
      <c r="K167" s="3" t="str">
        <f t="shared" si="11"/>
        <v/>
      </c>
    </row>
    <row r="168" spans="1:11">
      <c r="A168" s="3" t="str">
        <f>IF(LEN(Sheet1!C165)&lt;1,"",IF(LEN(Sheet1!C165)&gt;1,"Q","A"))</f>
        <v/>
      </c>
      <c r="B168" s="3" t="str">
        <f>IF(LEN(A168)&lt;1,"",Sheet1!P165)</f>
        <v/>
      </c>
      <c r="C168" s="3" t="str">
        <f>IF(LEN(A168)&lt;1,"",Sheet1!X165)</f>
        <v/>
      </c>
      <c r="E168" s="3" t="str">
        <f>IF(LEN(A168)&lt;1,"",Sheet1!M165)</f>
        <v/>
      </c>
      <c r="F168" s="3" t="str">
        <f>IF(ISBLANK(A168),"",Sheet1!N165)</f>
        <v/>
      </c>
      <c r="G168" s="3" t="str">
        <f>IF(ISBLANK(A168),"",Sheet1!O165)</f>
        <v/>
      </c>
      <c r="H168" s="3" t="str">
        <f t="shared" si="8"/>
        <v/>
      </c>
      <c r="I168" s="3" t="str">
        <f t="shared" si="9"/>
        <v/>
      </c>
      <c r="J168" s="3" t="str">
        <f t="shared" si="10"/>
        <v/>
      </c>
      <c r="K168" s="3" t="str">
        <f t="shared" si="11"/>
        <v/>
      </c>
    </row>
    <row r="169" spans="1:11">
      <c r="A169" s="3" t="str">
        <f>IF(LEN(Sheet1!C166)&lt;1,"",IF(LEN(Sheet1!C166)&gt;1,"Q","A"))</f>
        <v/>
      </c>
      <c r="B169" s="3" t="str">
        <f>IF(LEN(A169)&lt;1,"",Sheet1!P166)</f>
        <v/>
      </c>
      <c r="C169" s="3" t="str">
        <f>IF(LEN(A169)&lt;1,"",Sheet1!X166)</f>
        <v/>
      </c>
      <c r="E169" s="3" t="str">
        <f>IF(LEN(A169)&lt;1,"",Sheet1!M166)</f>
        <v/>
      </c>
      <c r="F169" s="3" t="str">
        <f>IF(ISBLANK(A169),"",Sheet1!N166)</f>
        <v/>
      </c>
      <c r="G169" s="3" t="str">
        <f>IF(ISBLANK(A169),"",Sheet1!O166)</f>
        <v/>
      </c>
      <c r="H169" s="3" t="str">
        <f t="shared" si="8"/>
        <v/>
      </c>
      <c r="I169" s="3" t="str">
        <f t="shared" si="9"/>
        <v/>
      </c>
      <c r="J169" s="3" t="str">
        <f t="shared" si="10"/>
        <v/>
      </c>
      <c r="K169" s="3" t="str">
        <f t="shared" si="11"/>
        <v/>
      </c>
    </row>
    <row r="170" spans="1:11">
      <c r="A170" s="3" t="str">
        <f>IF(LEN(Sheet1!C167)&lt;1,"",IF(LEN(Sheet1!C167)&gt;1,"Q","A"))</f>
        <v/>
      </c>
      <c r="B170" s="3" t="str">
        <f>IF(LEN(A170)&lt;1,"",Sheet1!P167)</f>
        <v/>
      </c>
      <c r="C170" s="3" t="str">
        <f>IF(LEN(A170)&lt;1,"",Sheet1!X167)</f>
        <v/>
      </c>
      <c r="E170" s="3" t="str">
        <f>IF(LEN(A170)&lt;1,"",Sheet1!M167)</f>
        <v/>
      </c>
      <c r="F170" s="3" t="str">
        <f>IF(ISBLANK(A170),"",Sheet1!N167)</f>
        <v/>
      </c>
      <c r="G170" s="3" t="str">
        <f>IF(ISBLANK(A170),"",Sheet1!O167)</f>
        <v/>
      </c>
      <c r="H170" s="3" t="str">
        <f t="shared" si="8"/>
        <v/>
      </c>
      <c r="I170" s="3" t="str">
        <f t="shared" si="9"/>
        <v/>
      </c>
      <c r="J170" s="3" t="str">
        <f t="shared" si="10"/>
        <v/>
      </c>
      <c r="K170" s="3" t="str">
        <f t="shared" si="11"/>
        <v/>
      </c>
    </row>
    <row r="171" spans="1:11">
      <c r="A171" s="3" t="str">
        <f>IF(LEN(Sheet1!C168)&lt;1,"",IF(LEN(Sheet1!C168)&gt;1,"Q","A"))</f>
        <v/>
      </c>
      <c r="B171" s="3" t="str">
        <f>IF(LEN(A171)&lt;1,"",Sheet1!P168)</f>
        <v/>
      </c>
      <c r="C171" s="3" t="str">
        <f>IF(LEN(A171)&lt;1,"",Sheet1!X168)</f>
        <v/>
      </c>
      <c r="E171" s="3" t="str">
        <f>IF(LEN(A171)&lt;1,"",Sheet1!M168)</f>
        <v/>
      </c>
      <c r="F171" s="3" t="str">
        <f>IF(ISBLANK(A171),"",Sheet1!N168)</f>
        <v/>
      </c>
      <c r="G171" s="3" t="str">
        <f>IF(ISBLANK(A171),"",Sheet1!O168)</f>
        <v/>
      </c>
      <c r="H171" s="3" t="str">
        <f t="shared" si="8"/>
        <v/>
      </c>
      <c r="I171" s="3" t="str">
        <f t="shared" si="9"/>
        <v/>
      </c>
      <c r="J171" s="3" t="str">
        <f t="shared" si="10"/>
        <v/>
      </c>
      <c r="K171" s="3" t="str">
        <f t="shared" si="11"/>
        <v/>
      </c>
    </row>
    <row r="172" spans="1:11">
      <c r="A172" s="3" t="str">
        <f>IF(LEN(Sheet1!C169)&lt;1,"",IF(LEN(Sheet1!C169)&gt;1,"Q","A"))</f>
        <v/>
      </c>
      <c r="B172" s="3" t="str">
        <f>IF(LEN(A172)&lt;1,"",Sheet1!P169)</f>
        <v/>
      </c>
      <c r="C172" s="3" t="str">
        <f>IF(LEN(A172)&lt;1,"",Sheet1!X169)</f>
        <v/>
      </c>
      <c r="E172" s="3" t="str">
        <f>IF(LEN(A172)&lt;1,"",Sheet1!M169)</f>
        <v/>
      </c>
      <c r="F172" s="3" t="str">
        <f>IF(ISBLANK(A172),"",Sheet1!N169)</f>
        <v/>
      </c>
      <c r="G172" s="3" t="str">
        <f>IF(ISBLANK(A172),"",Sheet1!O169)</f>
        <v/>
      </c>
      <c r="H172" s="3" t="str">
        <f t="shared" si="8"/>
        <v/>
      </c>
      <c r="I172" s="3" t="str">
        <f t="shared" si="9"/>
        <v/>
      </c>
      <c r="J172" s="3" t="str">
        <f t="shared" si="10"/>
        <v/>
      </c>
      <c r="K172" s="3" t="str">
        <f t="shared" si="11"/>
        <v/>
      </c>
    </row>
    <row r="173" spans="1:11">
      <c r="A173" s="3" t="str">
        <f>IF(LEN(Sheet1!C170)&lt;1,"",IF(LEN(Sheet1!C170)&gt;1,"Q","A"))</f>
        <v/>
      </c>
      <c r="B173" s="3" t="str">
        <f>IF(LEN(A173)&lt;1,"",Sheet1!P170)</f>
        <v/>
      </c>
      <c r="C173" s="3" t="str">
        <f>IF(LEN(A173)&lt;1,"",Sheet1!X170)</f>
        <v/>
      </c>
      <c r="E173" s="3" t="str">
        <f>IF(LEN(A173)&lt;1,"",Sheet1!M170)</f>
        <v/>
      </c>
      <c r="F173" s="3" t="str">
        <f>IF(ISBLANK(A173),"",Sheet1!N170)</f>
        <v/>
      </c>
      <c r="G173" s="3" t="str">
        <f>IF(ISBLANK(A173),"",Sheet1!O170)</f>
        <v/>
      </c>
      <c r="H173" s="3" t="str">
        <f t="shared" si="8"/>
        <v/>
      </c>
      <c r="I173" s="3" t="str">
        <f t="shared" si="9"/>
        <v/>
      </c>
      <c r="J173" s="3" t="str">
        <f t="shared" si="10"/>
        <v/>
      </c>
      <c r="K173" s="3" t="str">
        <f t="shared" si="11"/>
        <v/>
      </c>
    </row>
    <row r="174" spans="1:11">
      <c r="A174" s="3" t="str">
        <f>IF(LEN(Sheet1!C171)&lt;1,"",IF(LEN(Sheet1!C171)&gt;1,"Q","A"))</f>
        <v/>
      </c>
      <c r="B174" s="3" t="str">
        <f>IF(LEN(A174)&lt;1,"",Sheet1!P171)</f>
        <v/>
      </c>
      <c r="C174" s="3" t="str">
        <f>IF(LEN(A174)&lt;1,"",Sheet1!X171)</f>
        <v/>
      </c>
      <c r="E174" s="3" t="str">
        <f>IF(LEN(A174)&lt;1,"",Sheet1!M171)</f>
        <v/>
      </c>
      <c r="F174" s="3" t="str">
        <f>IF(ISBLANK(A174),"",Sheet1!N171)</f>
        <v/>
      </c>
      <c r="G174" s="3" t="str">
        <f>IF(ISBLANK(A174),"",Sheet1!O171)</f>
        <v/>
      </c>
      <c r="H174" s="3" t="str">
        <f t="shared" si="8"/>
        <v/>
      </c>
      <c r="I174" s="3" t="str">
        <f t="shared" si="9"/>
        <v/>
      </c>
      <c r="J174" s="3" t="str">
        <f t="shared" si="10"/>
        <v/>
      </c>
      <c r="K174" s="3" t="str">
        <f t="shared" si="11"/>
        <v/>
      </c>
    </row>
    <row r="175" spans="1:11">
      <c r="A175" s="3" t="str">
        <f>IF(LEN(Sheet1!C172)&lt;1,"",IF(LEN(Sheet1!C172)&gt;1,"Q","A"))</f>
        <v/>
      </c>
      <c r="B175" s="3" t="str">
        <f>IF(LEN(A175)&lt;1,"",Sheet1!P172)</f>
        <v/>
      </c>
      <c r="C175" s="3" t="str">
        <f>IF(LEN(A175)&lt;1,"",Sheet1!X172)</f>
        <v/>
      </c>
      <c r="E175" s="3" t="str">
        <f>IF(LEN(A175)&lt;1,"",Sheet1!M172)</f>
        <v/>
      </c>
      <c r="F175" s="3" t="str">
        <f>IF(ISBLANK(A175),"",Sheet1!N172)</f>
        <v/>
      </c>
      <c r="G175" s="3" t="str">
        <f>IF(ISBLANK(A175),"",Sheet1!O172)</f>
        <v/>
      </c>
      <c r="H175" s="3" t="str">
        <f t="shared" si="8"/>
        <v/>
      </c>
      <c r="I175" s="3" t="str">
        <f t="shared" si="9"/>
        <v/>
      </c>
      <c r="J175" s="3" t="str">
        <f t="shared" si="10"/>
        <v/>
      </c>
      <c r="K175" s="3" t="str">
        <f t="shared" si="11"/>
        <v/>
      </c>
    </row>
    <row r="176" spans="1:11">
      <c r="A176" s="3" t="str">
        <f>IF(LEN(Sheet1!C173)&lt;1,"",IF(LEN(Sheet1!C173)&gt;1,"Q","A"))</f>
        <v/>
      </c>
      <c r="B176" s="3" t="str">
        <f>IF(LEN(A176)&lt;1,"",Sheet1!P173)</f>
        <v/>
      </c>
      <c r="C176" s="3" t="str">
        <f>IF(LEN(A176)&lt;1,"",Sheet1!X173)</f>
        <v/>
      </c>
      <c r="E176" s="3" t="str">
        <f>IF(LEN(A176)&lt;1,"",Sheet1!M173)</f>
        <v/>
      </c>
      <c r="F176" s="3" t="str">
        <f>IF(ISBLANK(A176),"",Sheet1!N173)</f>
        <v/>
      </c>
      <c r="G176" s="3" t="str">
        <f>IF(ISBLANK(A176),"",Sheet1!O173)</f>
        <v/>
      </c>
      <c r="H176" s="3" t="str">
        <f t="shared" si="8"/>
        <v/>
      </c>
      <c r="I176" s="3" t="str">
        <f t="shared" si="9"/>
        <v/>
      </c>
      <c r="J176" s="3" t="str">
        <f t="shared" si="10"/>
        <v/>
      </c>
      <c r="K176" s="3" t="str">
        <f t="shared" si="11"/>
        <v/>
      </c>
    </row>
    <row r="177" spans="1:11">
      <c r="A177" s="3" t="str">
        <f>IF(LEN(Sheet1!C174)&lt;1,"",IF(LEN(Sheet1!C174)&gt;1,"Q","A"))</f>
        <v/>
      </c>
      <c r="B177" s="3" t="str">
        <f>IF(LEN(A177)&lt;1,"",Sheet1!P174)</f>
        <v/>
      </c>
      <c r="C177" s="3" t="str">
        <f>IF(LEN(A177)&lt;1,"",Sheet1!X174)</f>
        <v/>
      </c>
      <c r="E177" s="3" t="str">
        <f>IF(LEN(A177)&lt;1,"",Sheet1!M174)</f>
        <v/>
      </c>
      <c r="F177" s="3" t="str">
        <f>IF(ISBLANK(A177),"",Sheet1!N174)</f>
        <v/>
      </c>
      <c r="G177" s="3" t="str">
        <f>IF(ISBLANK(A177),"",Sheet1!O174)</f>
        <v/>
      </c>
      <c r="H177" s="3" t="str">
        <f t="shared" si="8"/>
        <v/>
      </c>
      <c r="I177" s="3" t="str">
        <f t="shared" si="9"/>
        <v/>
      </c>
      <c r="J177" s="3" t="str">
        <f t="shared" si="10"/>
        <v/>
      </c>
      <c r="K177" s="3" t="str">
        <f t="shared" si="11"/>
        <v/>
      </c>
    </row>
    <row r="178" spans="1:11">
      <c r="A178" s="3" t="str">
        <f>IF(LEN(Sheet1!C175)&lt;1,"",IF(LEN(Sheet1!C175)&gt;1,"Q","A"))</f>
        <v/>
      </c>
      <c r="B178" s="3" t="str">
        <f>IF(LEN(A178)&lt;1,"",Sheet1!P175)</f>
        <v/>
      </c>
      <c r="C178" s="3" t="str">
        <f>IF(LEN(A178)&lt;1,"",Sheet1!X175)</f>
        <v/>
      </c>
      <c r="E178" s="3" t="str">
        <f>IF(LEN(A178)&lt;1,"",Sheet1!M175)</f>
        <v/>
      </c>
      <c r="F178" s="3" t="str">
        <f>IF(ISBLANK(A178),"",Sheet1!N175)</f>
        <v/>
      </c>
      <c r="G178" s="3" t="str">
        <f>IF(ISBLANK(A178),"",Sheet1!O175)</f>
        <v/>
      </c>
      <c r="H178" s="3" t="str">
        <f t="shared" si="8"/>
        <v/>
      </c>
      <c r="I178" s="3" t="str">
        <f t="shared" si="9"/>
        <v/>
      </c>
      <c r="J178" s="3" t="str">
        <f t="shared" si="10"/>
        <v/>
      </c>
      <c r="K178" s="3" t="str">
        <f t="shared" si="11"/>
        <v/>
      </c>
    </row>
    <row r="179" spans="1:11">
      <c r="A179" s="3" t="str">
        <f>IF(LEN(Sheet1!C176)&lt;1,"",IF(LEN(Sheet1!C176)&gt;1,"Q","A"))</f>
        <v/>
      </c>
      <c r="B179" s="3" t="str">
        <f>IF(LEN(A179)&lt;1,"",Sheet1!P176)</f>
        <v/>
      </c>
      <c r="C179" s="3" t="str">
        <f>IF(LEN(A179)&lt;1,"",Sheet1!X176)</f>
        <v/>
      </c>
      <c r="E179" s="3" t="str">
        <f>IF(LEN(A179)&lt;1,"",Sheet1!M176)</f>
        <v/>
      </c>
      <c r="F179" s="3" t="str">
        <f>IF(ISBLANK(A179),"",Sheet1!N176)</f>
        <v/>
      </c>
      <c r="G179" s="3" t="str">
        <f>IF(ISBLANK(A179),"",Sheet1!O176)</f>
        <v/>
      </c>
      <c r="H179" s="3" t="str">
        <f t="shared" si="8"/>
        <v/>
      </c>
      <c r="I179" s="3" t="str">
        <f t="shared" si="9"/>
        <v/>
      </c>
      <c r="J179" s="3" t="str">
        <f t="shared" si="10"/>
        <v/>
      </c>
      <c r="K179" s="3" t="str">
        <f t="shared" si="11"/>
        <v/>
      </c>
    </row>
    <row r="180" spans="1:11">
      <c r="A180" s="3" t="str">
        <f>IF(LEN(Sheet1!C177)&lt;1,"",IF(LEN(Sheet1!C177)&gt;1,"Q","A"))</f>
        <v/>
      </c>
      <c r="B180" s="3" t="str">
        <f>IF(LEN(A180)&lt;1,"",Sheet1!P177)</f>
        <v/>
      </c>
      <c r="C180" s="3" t="str">
        <f>IF(LEN(A180)&lt;1,"",Sheet1!X177)</f>
        <v/>
      </c>
      <c r="E180" s="3" t="str">
        <f>IF(LEN(A180)&lt;1,"",Sheet1!M177)</f>
        <v/>
      </c>
      <c r="F180" s="3" t="str">
        <f>IF(ISBLANK(A180),"",Sheet1!N177)</f>
        <v/>
      </c>
      <c r="G180" s="3" t="str">
        <f>IF(ISBLANK(A180),"",Sheet1!O177)</f>
        <v/>
      </c>
      <c r="H180" s="3" t="str">
        <f t="shared" si="8"/>
        <v/>
      </c>
      <c r="I180" s="3" t="str">
        <f t="shared" si="9"/>
        <v/>
      </c>
      <c r="J180" s="3" t="str">
        <f t="shared" si="10"/>
        <v/>
      </c>
      <c r="K180" s="3" t="str">
        <f t="shared" si="11"/>
        <v/>
      </c>
    </row>
    <row r="181" spans="1:11">
      <c r="A181" s="3" t="str">
        <f>IF(LEN(Sheet1!C178)&lt;1,"",IF(LEN(Sheet1!C178)&gt;1,"Q","A"))</f>
        <v/>
      </c>
      <c r="B181" s="3" t="str">
        <f>IF(LEN(A181)&lt;1,"",Sheet1!P178)</f>
        <v/>
      </c>
      <c r="C181" s="3" t="str">
        <f>IF(LEN(A181)&lt;1,"",Sheet1!X178)</f>
        <v/>
      </c>
      <c r="E181" s="3" t="str">
        <f>IF(LEN(A181)&lt;1,"",Sheet1!M178)</f>
        <v/>
      </c>
      <c r="F181" s="3" t="str">
        <f>IF(ISBLANK(A181),"",Sheet1!N178)</f>
        <v/>
      </c>
      <c r="G181" s="3" t="str">
        <f>IF(ISBLANK(A181),"",Sheet1!O178)</f>
        <v/>
      </c>
      <c r="H181" s="3" t="str">
        <f t="shared" si="8"/>
        <v/>
      </c>
      <c r="I181" s="3" t="str">
        <f t="shared" si="9"/>
        <v/>
      </c>
      <c r="J181" s="3" t="str">
        <f t="shared" si="10"/>
        <v/>
      </c>
      <c r="K181" s="3" t="str">
        <f t="shared" si="11"/>
        <v/>
      </c>
    </row>
    <row r="182" spans="1:11">
      <c r="A182" s="3" t="str">
        <f>IF(LEN(Sheet1!C179)&lt;1,"",IF(LEN(Sheet1!C179)&gt;1,"Q","A"))</f>
        <v/>
      </c>
      <c r="B182" s="3" t="str">
        <f>IF(LEN(A182)&lt;1,"",Sheet1!P179)</f>
        <v/>
      </c>
      <c r="C182" s="3" t="str">
        <f>IF(LEN(A182)&lt;1,"",Sheet1!X179)</f>
        <v/>
      </c>
      <c r="E182" s="3" t="str">
        <f>IF(LEN(A182)&lt;1,"",Sheet1!M179)</f>
        <v/>
      </c>
      <c r="F182" s="3" t="str">
        <f>IF(ISBLANK(A182),"",Sheet1!N179)</f>
        <v/>
      </c>
      <c r="G182" s="3" t="str">
        <f>IF(ISBLANK(A182),"",Sheet1!O179)</f>
        <v/>
      </c>
      <c r="H182" s="3" t="str">
        <f t="shared" si="8"/>
        <v/>
      </c>
      <c r="I182" s="3" t="str">
        <f t="shared" si="9"/>
        <v/>
      </c>
      <c r="J182" s="3" t="str">
        <f t="shared" si="10"/>
        <v/>
      </c>
      <c r="K182" s="3" t="str">
        <f t="shared" si="11"/>
        <v/>
      </c>
    </row>
    <row r="183" spans="1:11">
      <c r="A183" s="3" t="str">
        <f>IF(LEN(Sheet1!C180)&lt;1,"",IF(LEN(Sheet1!C180)&gt;1,"Q","A"))</f>
        <v/>
      </c>
      <c r="B183" s="3" t="str">
        <f>IF(LEN(A183)&lt;1,"",Sheet1!P180)</f>
        <v/>
      </c>
      <c r="C183" s="3" t="str">
        <f>IF(LEN(A183)&lt;1,"",Sheet1!X180)</f>
        <v/>
      </c>
      <c r="E183" s="3" t="str">
        <f>IF(LEN(A183)&lt;1,"",Sheet1!M180)</f>
        <v/>
      </c>
      <c r="F183" s="3" t="str">
        <f>IF(ISBLANK(A183),"",Sheet1!N180)</f>
        <v/>
      </c>
      <c r="G183" s="3" t="str">
        <f>IF(ISBLANK(A183),"",Sheet1!O180)</f>
        <v/>
      </c>
      <c r="H183" s="3" t="str">
        <f t="shared" si="8"/>
        <v/>
      </c>
      <c r="I183" s="3" t="str">
        <f t="shared" si="9"/>
        <v/>
      </c>
      <c r="J183" s="3" t="str">
        <f t="shared" si="10"/>
        <v/>
      </c>
      <c r="K183" s="3" t="str">
        <f t="shared" si="11"/>
        <v/>
      </c>
    </row>
    <row r="184" spans="1:11">
      <c r="A184" s="3" t="str">
        <f>IF(LEN(Sheet1!C181)&lt;1,"",IF(LEN(Sheet1!C181)&gt;1,"Q","A"))</f>
        <v/>
      </c>
      <c r="B184" s="3" t="str">
        <f>IF(LEN(A184)&lt;1,"",Sheet1!P181)</f>
        <v/>
      </c>
      <c r="C184" s="3" t="str">
        <f>IF(LEN(A184)&lt;1,"",Sheet1!X181)</f>
        <v/>
      </c>
      <c r="E184" s="3" t="str">
        <f>IF(LEN(A184)&lt;1,"",Sheet1!M181)</f>
        <v/>
      </c>
      <c r="F184" s="3" t="str">
        <f>IF(ISBLANK(A184),"",Sheet1!N181)</f>
        <v/>
      </c>
      <c r="G184" s="3" t="str">
        <f>IF(ISBLANK(A184),"",Sheet1!O181)</f>
        <v/>
      </c>
      <c r="H184" s="3" t="str">
        <f t="shared" si="8"/>
        <v/>
      </c>
      <c r="I184" s="3" t="str">
        <f t="shared" si="9"/>
        <v/>
      </c>
      <c r="J184" s="3" t="str">
        <f t="shared" si="10"/>
        <v/>
      </c>
      <c r="K184" s="3" t="str">
        <f t="shared" si="11"/>
        <v/>
      </c>
    </row>
    <row r="185" spans="1:11">
      <c r="A185" s="3" t="str">
        <f>IF(LEN(Sheet1!C182)&lt;1,"",IF(LEN(Sheet1!C182)&gt;1,"Q","A"))</f>
        <v/>
      </c>
      <c r="B185" s="3" t="str">
        <f>IF(LEN(A185)&lt;1,"",Sheet1!P182)</f>
        <v/>
      </c>
      <c r="C185" s="3" t="str">
        <f>IF(LEN(A185)&lt;1,"",Sheet1!X182)</f>
        <v/>
      </c>
      <c r="E185" s="3" t="str">
        <f>IF(LEN(A185)&lt;1,"",Sheet1!M182)</f>
        <v/>
      </c>
      <c r="F185" s="3" t="str">
        <f>IF(ISBLANK(A185),"",Sheet1!N182)</f>
        <v/>
      </c>
      <c r="G185" s="3" t="str">
        <f>IF(ISBLANK(A185),"",Sheet1!O182)</f>
        <v/>
      </c>
      <c r="H185" s="3" t="str">
        <f t="shared" si="8"/>
        <v/>
      </c>
      <c r="I185" s="3" t="str">
        <f t="shared" si="9"/>
        <v/>
      </c>
      <c r="J185" s="3" t="str">
        <f t="shared" si="10"/>
        <v/>
      </c>
      <c r="K185" s="3" t="str">
        <f t="shared" si="11"/>
        <v/>
      </c>
    </row>
    <row r="186" spans="1:11">
      <c r="A186" s="3" t="str">
        <f>IF(LEN(Sheet1!C183)&lt;1,"",IF(LEN(Sheet1!C183)&gt;1,"Q","A"))</f>
        <v/>
      </c>
      <c r="B186" s="3" t="str">
        <f>IF(LEN(A186)&lt;1,"",Sheet1!P183)</f>
        <v/>
      </c>
      <c r="C186" s="3" t="str">
        <f>IF(LEN(A186)&lt;1,"",Sheet1!X183)</f>
        <v/>
      </c>
      <c r="E186" s="3" t="str">
        <f>IF(LEN(A186)&lt;1,"",Sheet1!M183)</f>
        <v/>
      </c>
      <c r="F186" s="3" t="str">
        <f>IF(ISBLANK(A186),"",Sheet1!N183)</f>
        <v/>
      </c>
      <c r="G186" s="3" t="str">
        <f>IF(ISBLANK(A186),"",Sheet1!O183)</f>
        <v/>
      </c>
      <c r="H186" s="3" t="str">
        <f t="shared" si="8"/>
        <v/>
      </c>
      <c r="I186" s="3" t="str">
        <f t="shared" si="9"/>
        <v/>
      </c>
      <c r="J186" s="3" t="str">
        <f t="shared" si="10"/>
        <v/>
      </c>
      <c r="K186" s="3" t="str">
        <f t="shared" si="11"/>
        <v/>
      </c>
    </row>
    <row r="187" spans="1:11">
      <c r="A187" s="3" t="str">
        <f>IF(LEN(Sheet1!C184)&lt;1,"",IF(LEN(Sheet1!C184)&gt;1,"Q","A"))</f>
        <v/>
      </c>
      <c r="B187" s="3" t="str">
        <f>IF(LEN(A187)&lt;1,"",Sheet1!P184)</f>
        <v/>
      </c>
      <c r="C187" s="3" t="str">
        <f>IF(LEN(A187)&lt;1,"",Sheet1!X184)</f>
        <v/>
      </c>
      <c r="E187" s="3" t="str">
        <f>IF(LEN(A187)&lt;1,"",Sheet1!M184)</f>
        <v/>
      </c>
      <c r="F187" s="3" t="str">
        <f>IF(ISBLANK(A187),"",Sheet1!N184)</f>
        <v/>
      </c>
      <c r="G187" s="3" t="str">
        <f>IF(ISBLANK(A187),"",Sheet1!O184)</f>
        <v/>
      </c>
      <c r="H187" s="3" t="str">
        <f t="shared" si="8"/>
        <v/>
      </c>
      <c r="I187" s="3" t="str">
        <f t="shared" si="9"/>
        <v/>
      </c>
      <c r="J187" s="3" t="str">
        <f t="shared" si="10"/>
        <v/>
      </c>
      <c r="K187" s="3" t="str">
        <f t="shared" si="11"/>
        <v/>
      </c>
    </row>
    <row r="188" spans="1:11">
      <c r="A188" s="3" t="str">
        <f>IF(LEN(Sheet1!C185)&lt;1,"",IF(LEN(Sheet1!C185)&gt;1,"Q","A"))</f>
        <v/>
      </c>
      <c r="B188" s="3" t="str">
        <f>IF(LEN(A188)&lt;1,"",Sheet1!P185)</f>
        <v/>
      </c>
      <c r="C188" s="3" t="str">
        <f>IF(LEN(A188)&lt;1,"",Sheet1!X185)</f>
        <v/>
      </c>
      <c r="E188" s="3" t="str">
        <f>IF(LEN(A188)&lt;1,"",Sheet1!M185)</f>
        <v/>
      </c>
      <c r="F188" s="3" t="str">
        <f>IF(ISBLANK(A188),"",Sheet1!N185)</f>
        <v/>
      </c>
      <c r="G188" s="3" t="str">
        <f>IF(ISBLANK(A188),"",Sheet1!O185)</f>
        <v/>
      </c>
      <c r="H188" s="3" t="str">
        <f t="shared" si="8"/>
        <v/>
      </c>
      <c r="I188" s="3" t="str">
        <f t="shared" si="9"/>
        <v/>
      </c>
      <c r="J188" s="3" t="str">
        <f t="shared" si="10"/>
        <v/>
      </c>
      <c r="K188" s="3" t="str">
        <f t="shared" si="11"/>
        <v/>
      </c>
    </row>
    <row r="189" spans="1:11">
      <c r="A189" s="3" t="str">
        <f>IF(LEN(Sheet1!C186)&lt;1,"",IF(LEN(Sheet1!C186)&gt;1,"Q","A"))</f>
        <v/>
      </c>
      <c r="B189" s="3" t="str">
        <f>IF(LEN(A189)&lt;1,"",Sheet1!P186)</f>
        <v/>
      </c>
      <c r="C189" s="3" t="str">
        <f>IF(LEN(A189)&lt;1,"",Sheet1!X186)</f>
        <v/>
      </c>
      <c r="E189" s="3" t="str">
        <f>IF(LEN(A189)&lt;1,"",Sheet1!M186)</f>
        <v/>
      </c>
      <c r="F189" s="3" t="str">
        <f>IF(ISBLANK(A189),"",Sheet1!N186)</f>
        <v/>
      </c>
      <c r="G189" s="3" t="str">
        <f>IF(ISBLANK(A189),"",Sheet1!O186)</f>
        <v/>
      </c>
      <c r="H189" s="3" t="str">
        <f t="shared" si="8"/>
        <v/>
      </c>
      <c r="I189" s="3" t="str">
        <f t="shared" si="9"/>
        <v/>
      </c>
      <c r="J189" s="3" t="str">
        <f t="shared" si="10"/>
        <v/>
      </c>
      <c r="K189" s="3" t="str">
        <f t="shared" si="11"/>
        <v/>
      </c>
    </row>
    <row r="190" spans="1:11">
      <c r="A190" s="3" t="str">
        <f>IF(LEN(Sheet1!C187)&lt;1,"",IF(LEN(Sheet1!C187)&gt;1,"Q","A"))</f>
        <v/>
      </c>
      <c r="B190" s="3" t="str">
        <f>IF(LEN(A190)&lt;1,"",Sheet1!P187)</f>
        <v/>
      </c>
      <c r="C190" s="3" t="str">
        <f>IF(LEN(A190)&lt;1,"",Sheet1!X187)</f>
        <v/>
      </c>
      <c r="E190" s="3" t="str">
        <f>IF(LEN(A190)&lt;1,"",Sheet1!M187)</f>
        <v/>
      </c>
      <c r="F190" s="3" t="str">
        <f>IF(ISBLANK(A190),"",Sheet1!N187)</f>
        <v/>
      </c>
      <c r="G190" s="3" t="str">
        <f>IF(ISBLANK(A190),"",Sheet1!O187)</f>
        <v/>
      </c>
      <c r="H190" s="3" t="str">
        <f t="shared" si="8"/>
        <v/>
      </c>
      <c r="I190" s="3" t="str">
        <f t="shared" si="9"/>
        <v/>
      </c>
      <c r="J190" s="3" t="str">
        <f t="shared" si="10"/>
        <v/>
      </c>
      <c r="K190" s="3" t="str">
        <f t="shared" si="11"/>
        <v/>
      </c>
    </row>
    <row r="191" spans="1:11">
      <c r="A191" s="3" t="str">
        <f>IF(LEN(Sheet1!C188)&lt;1,"",IF(LEN(Sheet1!C188)&gt;1,"Q","A"))</f>
        <v/>
      </c>
      <c r="B191" s="3" t="str">
        <f>IF(LEN(A191)&lt;1,"",Sheet1!P188)</f>
        <v/>
      </c>
      <c r="C191" s="3" t="str">
        <f>IF(LEN(A191)&lt;1,"",Sheet1!X188)</f>
        <v/>
      </c>
      <c r="E191" s="3" t="str">
        <f>IF(LEN(A191)&lt;1,"",Sheet1!M188)</f>
        <v/>
      </c>
      <c r="F191" s="3" t="str">
        <f>IF(ISBLANK(A191),"",Sheet1!N188)</f>
        <v/>
      </c>
      <c r="G191" s="3" t="str">
        <f>IF(ISBLANK(A191),"",Sheet1!O188)</f>
        <v/>
      </c>
      <c r="H191" s="3" t="str">
        <f t="shared" si="8"/>
        <v/>
      </c>
      <c r="I191" s="3" t="str">
        <f t="shared" si="9"/>
        <v/>
      </c>
      <c r="J191" s="3" t="str">
        <f t="shared" si="10"/>
        <v/>
      </c>
      <c r="K191" s="3" t="str">
        <f t="shared" si="11"/>
        <v/>
      </c>
    </row>
    <row r="192" spans="1:11">
      <c r="A192" s="3" t="str">
        <f>IF(LEN(Sheet1!C189)&lt;1,"",IF(LEN(Sheet1!C189)&gt;1,"Q","A"))</f>
        <v/>
      </c>
      <c r="B192" s="3" t="str">
        <f>IF(LEN(A192)&lt;1,"",Sheet1!P189)</f>
        <v/>
      </c>
      <c r="C192" s="3" t="str">
        <f>IF(LEN(A192)&lt;1,"",Sheet1!X189)</f>
        <v/>
      </c>
      <c r="E192" s="3" t="str">
        <f>IF(LEN(A192)&lt;1,"",Sheet1!M189)</f>
        <v/>
      </c>
      <c r="F192" s="3" t="str">
        <f>IF(ISBLANK(A192),"",Sheet1!N189)</f>
        <v/>
      </c>
      <c r="G192" s="3" t="str">
        <f>IF(ISBLANK(A192),"",Sheet1!O189)</f>
        <v/>
      </c>
      <c r="H192" s="3" t="str">
        <f t="shared" si="8"/>
        <v/>
      </c>
      <c r="I192" s="3" t="str">
        <f t="shared" si="9"/>
        <v/>
      </c>
      <c r="J192" s="3" t="str">
        <f t="shared" si="10"/>
        <v/>
      </c>
      <c r="K192" s="3" t="str">
        <f t="shared" si="11"/>
        <v/>
      </c>
    </row>
    <row r="193" spans="1:11">
      <c r="A193" s="3" t="str">
        <f>IF(LEN(Sheet1!C190)&lt;1,"",IF(LEN(Sheet1!C190)&gt;1,"Q","A"))</f>
        <v/>
      </c>
      <c r="B193" s="3" t="str">
        <f>IF(LEN(A193)&lt;1,"",Sheet1!P190)</f>
        <v/>
      </c>
      <c r="C193" s="3" t="str">
        <f>IF(LEN(A193)&lt;1,"",Sheet1!X190)</f>
        <v/>
      </c>
      <c r="E193" s="3" t="str">
        <f>IF(LEN(A193)&lt;1,"",Sheet1!M190)</f>
        <v/>
      </c>
      <c r="F193" s="3" t="str">
        <f>IF(ISBLANK(A193),"",Sheet1!N190)</f>
        <v/>
      </c>
      <c r="G193" s="3" t="str">
        <f>IF(ISBLANK(A193),"",Sheet1!O190)</f>
        <v/>
      </c>
      <c r="H193" s="3" t="str">
        <f t="shared" si="8"/>
        <v/>
      </c>
      <c r="I193" s="3" t="str">
        <f t="shared" si="9"/>
        <v/>
      </c>
      <c r="J193" s="3" t="str">
        <f t="shared" si="10"/>
        <v/>
      </c>
      <c r="K193" s="3" t="str">
        <f t="shared" si="11"/>
        <v/>
      </c>
    </row>
    <row r="194" spans="1:11">
      <c r="A194" s="3" t="str">
        <f>IF(LEN(Sheet1!C191)&lt;1,"",IF(LEN(Sheet1!C191)&gt;1,"Q","A"))</f>
        <v/>
      </c>
      <c r="B194" s="3" t="str">
        <f>IF(LEN(A194)&lt;1,"",Sheet1!P191)</f>
        <v/>
      </c>
      <c r="C194" s="3" t="str">
        <f>IF(LEN(A194)&lt;1,"",Sheet1!X191)</f>
        <v/>
      </c>
      <c r="E194" s="3" t="str">
        <f>IF(LEN(A194)&lt;1,"",Sheet1!M191)</f>
        <v/>
      </c>
      <c r="F194" s="3" t="str">
        <f>IF(ISBLANK(A194),"",Sheet1!N191)</f>
        <v/>
      </c>
      <c r="G194" s="3" t="str">
        <f>IF(ISBLANK(A194),"",Sheet1!O191)</f>
        <v/>
      </c>
      <c r="H194" s="3" t="str">
        <f t="shared" si="8"/>
        <v/>
      </c>
      <c r="I194" s="3" t="str">
        <f t="shared" si="9"/>
        <v/>
      </c>
      <c r="J194" s="3" t="str">
        <f t="shared" si="10"/>
        <v/>
      </c>
      <c r="K194" s="3" t="str">
        <f t="shared" si="11"/>
        <v/>
      </c>
    </row>
    <row r="195" spans="1:11">
      <c r="A195" s="3" t="str">
        <f>IF(LEN(Sheet1!C192)&lt;1,"",IF(LEN(Sheet1!C192)&gt;1,"Q","A"))</f>
        <v/>
      </c>
      <c r="B195" s="3" t="str">
        <f>IF(LEN(A195)&lt;1,"",Sheet1!P192)</f>
        <v/>
      </c>
      <c r="C195" s="3" t="str">
        <f>IF(LEN(A195)&lt;1,"",Sheet1!X192)</f>
        <v/>
      </c>
      <c r="E195" s="3" t="str">
        <f>IF(LEN(A195)&lt;1,"",Sheet1!M192)</f>
        <v/>
      </c>
      <c r="F195" s="3" t="str">
        <f>IF(ISBLANK(A195),"",Sheet1!N192)</f>
        <v/>
      </c>
      <c r="G195" s="3" t="str">
        <f>IF(ISBLANK(A195),"",Sheet1!O192)</f>
        <v/>
      </c>
      <c r="H195" s="3" t="str">
        <f t="shared" si="8"/>
        <v/>
      </c>
      <c r="I195" s="3" t="str">
        <f t="shared" si="9"/>
        <v/>
      </c>
      <c r="J195" s="3" t="str">
        <f t="shared" si="10"/>
        <v/>
      </c>
      <c r="K195" s="3" t="str">
        <f t="shared" si="11"/>
        <v/>
      </c>
    </row>
    <row r="196" spans="1:11">
      <c r="A196" s="3" t="str">
        <f>IF(LEN(Sheet1!C193)&lt;1,"",IF(LEN(Sheet1!C193)&gt;1,"Q","A"))</f>
        <v/>
      </c>
      <c r="B196" s="3" t="str">
        <f>IF(LEN(A196)&lt;1,"",Sheet1!P193)</f>
        <v/>
      </c>
      <c r="C196" s="3" t="str">
        <f>IF(LEN(A196)&lt;1,"",Sheet1!X193)</f>
        <v/>
      </c>
      <c r="E196" s="3" t="str">
        <f>IF(LEN(A196)&lt;1,"",Sheet1!M193)</f>
        <v/>
      </c>
      <c r="F196" s="3" t="str">
        <f>IF(ISBLANK(A196),"",Sheet1!N193)</f>
        <v/>
      </c>
      <c r="G196" s="3" t="str">
        <f>IF(ISBLANK(A196),"",Sheet1!O193)</f>
        <v/>
      </c>
      <c r="H196" s="3" t="str">
        <f t="shared" si="8"/>
        <v/>
      </c>
      <c r="I196" s="3" t="str">
        <f t="shared" si="9"/>
        <v/>
      </c>
      <c r="J196" s="3" t="str">
        <f t="shared" si="10"/>
        <v/>
      </c>
      <c r="K196" s="3" t="str">
        <f t="shared" si="11"/>
        <v/>
      </c>
    </row>
    <row r="197" spans="1:11">
      <c r="A197" s="3" t="str">
        <f>IF(LEN(Sheet1!C194)&lt;1,"",IF(LEN(Sheet1!C194)&gt;1,"Q","A"))</f>
        <v/>
      </c>
      <c r="B197" s="3" t="str">
        <f>IF(LEN(A197)&lt;1,"",Sheet1!P194)</f>
        <v/>
      </c>
      <c r="C197" s="3" t="str">
        <f>IF(LEN(A197)&lt;1,"",Sheet1!X194)</f>
        <v/>
      </c>
      <c r="E197" s="3" t="str">
        <f>IF(LEN(A197)&lt;1,"",Sheet1!M194)</f>
        <v/>
      </c>
      <c r="F197" s="3" t="str">
        <f>IF(ISBLANK(A197),"",Sheet1!N194)</f>
        <v/>
      </c>
      <c r="G197" s="3" t="str">
        <f>IF(ISBLANK(A197),"",Sheet1!O194)</f>
        <v/>
      </c>
      <c r="H197" s="3" t="str">
        <f t="shared" si="8"/>
        <v/>
      </c>
      <c r="I197" s="3" t="str">
        <f t="shared" si="9"/>
        <v/>
      </c>
      <c r="J197" s="3" t="str">
        <f t="shared" si="10"/>
        <v/>
      </c>
      <c r="K197" s="3" t="str">
        <f t="shared" si="11"/>
        <v/>
      </c>
    </row>
    <row r="198" spans="1:11">
      <c r="A198" s="3" t="str">
        <f>IF(LEN(Sheet1!C195)&lt;1,"",IF(LEN(Sheet1!C195)&gt;1,"Q","A"))</f>
        <v/>
      </c>
      <c r="B198" s="3" t="str">
        <f>IF(LEN(A198)&lt;1,"",Sheet1!P195)</f>
        <v/>
      </c>
      <c r="C198" s="3" t="str">
        <f>IF(LEN(A198)&lt;1,"",Sheet1!X195)</f>
        <v/>
      </c>
      <c r="E198" s="3" t="str">
        <f>IF(LEN(A198)&lt;1,"",Sheet1!M195)</f>
        <v/>
      </c>
      <c r="F198" s="3" t="str">
        <f>IF(ISBLANK(A198),"",Sheet1!N195)</f>
        <v/>
      </c>
      <c r="G198" s="3" t="str">
        <f>IF(ISBLANK(A198),"",Sheet1!O195)</f>
        <v/>
      </c>
      <c r="H198" s="3" t="str">
        <f t="shared" si="8"/>
        <v/>
      </c>
      <c r="I198" s="3" t="str">
        <f t="shared" si="9"/>
        <v/>
      </c>
      <c r="J198" s="3" t="str">
        <f t="shared" si="10"/>
        <v/>
      </c>
      <c r="K198" s="3" t="str">
        <f t="shared" si="11"/>
        <v/>
      </c>
    </row>
    <row r="199" spans="1:11">
      <c r="A199" s="3" t="str">
        <f>IF(LEN(Sheet1!C196)&lt;1,"",IF(LEN(Sheet1!C196)&gt;1,"Q","A"))</f>
        <v/>
      </c>
      <c r="B199" s="3" t="str">
        <f>IF(LEN(A199)&lt;1,"",Sheet1!P196)</f>
        <v/>
      </c>
      <c r="C199" s="3" t="str">
        <f>IF(LEN(A199)&lt;1,"",Sheet1!X196)</f>
        <v/>
      </c>
      <c r="E199" s="3" t="str">
        <f>IF(LEN(A199)&lt;1,"",Sheet1!M196)</f>
        <v/>
      </c>
      <c r="F199" s="3" t="str">
        <f>IF(ISBLANK(A199),"",Sheet1!N196)</f>
        <v/>
      </c>
      <c r="G199" s="3" t="str">
        <f>IF(ISBLANK(A199),"",Sheet1!O196)</f>
        <v/>
      </c>
      <c r="H199" s="3" t="str">
        <f t="shared" si="8"/>
        <v/>
      </c>
      <c r="I199" s="3" t="str">
        <f t="shared" si="9"/>
        <v/>
      </c>
      <c r="J199" s="3" t="str">
        <f t="shared" si="10"/>
        <v/>
      </c>
      <c r="K199" s="3" t="str">
        <f t="shared" si="11"/>
        <v/>
      </c>
    </row>
    <row r="200" spans="1:11">
      <c r="A200" s="3" t="str">
        <f>IF(LEN(Sheet1!C197)&lt;1,"",IF(LEN(Sheet1!C197)&gt;1,"Q","A"))</f>
        <v/>
      </c>
      <c r="B200" s="3" t="str">
        <f>IF(LEN(A200)&lt;1,"",Sheet1!P197)</f>
        <v/>
      </c>
      <c r="C200" s="3" t="str">
        <f>IF(LEN(A200)&lt;1,"",Sheet1!X197)</f>
        <v/>
      </c>
      <c r="E200" s="3" t="str">
        <f>IF(LEN(A200)&lt;1,"",Sheet1!M197)</f>
        <v/>
      </c>
      <c r="F200" s="3" t="str">
        <f>IF(ISBLANK(A200),"",Sheet1!N197)</f>
        <v/>
      </c>
      <c r="G200" s="3" t="str">
        <f>IF(ISBLANK(A200),"",Sheet1!O197)</f>
        <v/>
      </c>
      <c r="H200" s="3" t="str">
        <f t="shared" si="8"/>
        <v/>
      </c>
      <c r="I200" s="3" t="str">
        <f t="shared" si="9"/>
        <v/>
      </c>
      <c r="J200" s="3" t="str">
        <f t="shared" si="10"/>
        <v/>
      </c>
      <c r="K200" s="3" t="str">
        <f t="shared" si="11"/>
        <v/>
      </c>
    </row>
    <row r="201" spans="1:11">
      <c r="A201" s="3" t="str">
        <f>IF(LEN(Sheet1!C198)&lt;1,"",IF(LEN(Sheet1!C198)&gt;1,"Q","A"))</f>
        <v/>
      </c>
      <c r="B201" s="3" t="str">
        <f>IF(LEN(A201)&lt;1,"",Sheet1!P198)</f>
        <v/>
      </c>
      <c r="C201" s="3" t="str">
        <f>IF(LEN(A201)&lt;1,"",Sheet1!X198)</f>
        <v/>
      </c>
      <c r="E201" s="3" t="str">
        <f>IF(LEN(A201)&lt;1,"",Sheet1!M198)</f>
        <v/>
      </c>
      <c r="F201" s="3" t="str">
        <f>IF(ISBLANK(A201),"",Sheet1!N198)</f>
        <v/>
      </c>
      <c r="G201" s="3" t="str">
        <f>IF(ISBLANK(A201),"",Sheet1!O198)</f>
        <v/>
      </c>
      <c r="H201" s="3" t="str">
        <f t="shared" ref="H201:H264" si="12">IF(ISBLANK(A201),"",IF(A201="Q",0,""))</f>
        <v/>
      </c>
      <c r="I201" s="3" t="str">
        <f t="shared" ref="I201:I264" si="13">IF(ISBLANK(A201),"",IF(A201="Q",0,""))</f>
        <v/>
      </c>
      <c r="J201" s="3" t="str">
        <f t="shared" ref="J201:J264" si="14">IF(ISBLANK(A201),"",IF(A201="Q",0,""))</f>
        <v/>
      </c>
      <c r="K201" s="3" t="str">
        <f t="shared" ref="K201:K264" si="15">IF(ISBLANK(A201),"",IF(A201="Q",0,""))</f>
        <v/>
      </c>
    </row>
    <row r="202" spans="1:11">
      <c r="A202" s="3" t="str">
        <f>IF(LEN(Sheet1!C199)&lt;1,"",IF(LEN(Sheet1!C199)&gt;1,"Q","A"))</f>
        <v/>
      </c>
      <c r="B202" s="3" t="str">
        <f>IF(LEN(A202)&lt;1,"",Sheet1!P199)</f>
        <v/>
      </c>
      <c r="C202" s="3" t="str">
        <f>IF(LEN(A202)&lt;1,"",Sheet1!X199)</f>
        <v/>
      </c>
      <c r="E202" s="3" t="str">
        <f>IF(LEN(A202)&lt;1,"",Sheet1!M199)</f>
        <v/>
      </c>
      <c r="F202" s="3" t="str">
        <f>IF(ISBLANK(A202),"",Sheet1!N199)</f>
        <v/>
      </c>
      <c r="G202" s="3" t="str">
        <f>IF(ISBLANK(A202),"",Sheet1!O199)</f>
        <v/>
      </c>
      <c r="H202" s="3" t="str">
        <f t="shared" si="12"/>
        <v/>
      </c>
      <c r="I202" s="3" t="str">
        <f t="shared" si="13"/>
        <v/>
      </c>
      <c r="J202" s="3" t="str">
        <f t="shared" si="14"/>
        <v/>
      </c>
      <c r="K202" s="3" t="str">
        <f t="shared" si="15"/>
        <v/>
      </c>
    </row>
    <row r="203" spans="1:11">
      <c r="A203" s="3" t="str">
        <f>IF(LEN(Sheet1!C200)&lt;1,"",IF(LEN(Sheet1!C200)&gt;1,"Q","A"))</f>
        <v/>
      </c>
      <c r="B203" s="3" t="str">
        <f>IF(LEN(A203)&lt;1,"",Sheet1!P200)</f>
        <v/>
      </c>
      <c r="C203" s="3" t="str">
        <f>IF(LEN(A203)&lt;1,"",Sheet1!X200)</f>
        <v/>
      </c>
      <c r="E203" s="3" t="str">
        <f>IF(LEN(A203)&lt;1,"",Sheet1!M200)</f>
        <v/>
      </c>
      <c r="F203" s="3" t="str">
        <f>IF(ISBLANK(A203),"",Sheet1!N200)</f>
        <v/>
      </c>
      <c r="G203" s="3" t="str">
        <f>IF(ISBLANK(A203),"",Sheet1!O200)</f>
        <v/>
      </c>
      <c r="H203" s="3" t="str">
        <f t="shared" si="12"/>
        <v/>
      </c>
      <c r="I203" s="3" t="str">
        <f t="shared" si="13"/>
        <v/>
      </c>
      <c r="J203" s="3" t="str">
        <f t="shared" si="14"/>
        <v/>
      </c>
      <c r="K203" s="3" t="str">
        <f t="shared" si="15"/>
        <v/>
      </c>
    </row>
    <row r="204" spans="1:11">
      <c r="A204" s="3" t="str">
        <f>IF(LEN(Sheet1!C201)&lt;1,"",IF(LEN(Sheet1!C201)&gt;1,"Q","A"))</f>
        <v/>
      </c>
      <c r="B204" s="3" t="str">
        <f>IF(LEN(A204)&lt;1,"",Sheet1!P201)</f>
        <v/>
      </c>
      <c r="C204" s="3" t="str">
        <f>IF(LEN(A204)&lt;1,"",Sheet1!X201)</f>
        <v/>
      </c>
      <c r="E204" s="3" t="str">
        <f>IF(LEN(A204)&lt;1,"",Sheet1!M201)</f>
        <v/>
      </c>
      <c r="F204" s="3" t="str">
        <f>IF(ISBLANK(A204),"",Sheet1!N201)</f>
        <v/>
      </c>
      <c r="G204" s="3" t="str">
        <f>IF(ISBLANK(A204),"",Sheet1!O201)</f>
        <v/>
      </c>
      <c r="H204" s="3" t="str">
        <f t="shared" si="12"/>
        <v/>
      </c>
      <c r="I204" s="3" t="str">
        <f t="shared" si="13"/>
        <v/>
      </c>
      <c r="J204" s="3" t="str">
        <f t="shared" si="14"/>
        <v/>
      </c>
      <c r="K204" s="3" t="str">
        <f t="shared" si="15"/>
        <v/>
      </c>
    </row>
    <row r="205" spans="1:11">
      <c r="A205" s="3" t="str">
        <f>IF(LEN(Sheet1!C202)&lt;1,"",IF(LEN(Sheet1!C202)&gt;1,"Q","A"))</f>
        <v/>
      </c>
      <c r="B205" s="3" t="str">
        <f>IF(LEN(A205)&lt;1,"",Sheet1!P202)</f>
        <v/>
      </c>
      <c r="C205" s="3" t="str">
        <f>IF(LEN(A205)&lt;1,"",Sheet1!X202)</f>
        <v/>
      </c>
      <c r="E205" s="3" t="str">
        <f>IF(LEN(A205)&lt;1,"",Sheet1!M202)</f>
        <v/>
      </c>
      <c r="F205" s="3" t="str">
        <f>IF(ISBLANK(A205),"",Sheet1!N202)</f>
        <v/>
      </c>
      <c r="G205" s="3" t="str">
        <f>IF(ISBLANK(A205),"",Sheet1!O202)</f>
        <v/>
      </c>
      <c r="H205" s="3" t="str">
        <f t="shared" si="12"/>
        <v/>
      </c>
      <c r="I205" s="3" t="str">
        <f t="shared" si="13"/>
        <v/>
      </c>
      <c r="J205" s="3" t="str">
        <f t="shared" si="14"/>
        <v/>
      </c>
      <c r="K205" s="3" t="str">
        <f t="shared" si="15"/>
        <v/>
      </c>
    </row>
    <row r="206" spans="1:11">
      <c r="A206" s="3" t="str">
        <f>IF(LEN(Sheet1!C203)&lt;1,"",IF(LEN(Sheet1!C203)&gt;1,"Q","A"))</f>
        <v/>
      </c>
      <c r="B206" s="3" t="str">
        <f>IF(LEN(A206)&lt;1,"",Sheet1!P203)</f>
        <v/>
      </c>
      <c r="C206" s="3" t="str">
        <f>IF(LEN(A206)&lt;1,"",Sheet1!X203)</f>
        <v/>
      </c>
      <c r="E206" s="3" t="str">
        <f>IF(LEN(A206)&lt;1,"",Sheet1!M203)</f>
        <v/>
      </c>
      <c r="F206" s="3" t="str">
        <f>IF(ISBLANK(A206),"",Sheet1!N203)</f>
        <v/>
      </c>
      <c r="G206" s="3" t="str">
        <f>IF(ISBLANK(A206),"",Sheet1!O203)</f>
        <v/>
      </c>
      <c r="H206" s="3" t="str">
        <f t="shared" si="12"/>
        <v/>
      </c>
      <c r="I206" s="3" t="str">
        <f t="shared" si="13"/>
        <v/>
      </c>
      <c r="J206" s="3" t="str">
        <f t="shared" si="14"/>
        <v/>
      </c>
      <c r="K206" s="3" t="str">
        <f t="shared" si="15"/>
        <v/>
      </c>
    </row>
    <row r="207" spans="1:11">
      <c r="A207" s="3" t="str">
        <f>IF(LEN(Sheet1!C204)&lt;1,"",IF(LEN(Sheet1!C204)&gt;1,"Q","A"))</f>
        <v/>
      </c>
      <c r="B207" s="3" t="str">
        <f>IF(LEN(A207)&lt;1,"",Sheet1!P204)</f>
        <v/>
      </c>
      <c r="C207" s="3" t="str">
        <f>IF(LEN(A207)&lt;1,"",Sheet1!X204)</f>
        <v/>
      </c>
      <c r="E207" s="3" t="str">
        <f>IF(LEN(A207)&lt;1,"",Sheet1!M204)</f>
        <v/>
      </c>
      <c r="F207" s="3" t="str">
        <f>IF(ISBLANK(A207),"",Sheet1!N204)</f>
        <v/>
      </c>
      <c r="G207" s="3" t="str">
        <f>IF(ISBLANK(A207),"",Sheet1!O204)</f>
        <v/>
      </c>
      <c r="H207" s="3" t="str">
        <f t="shared" si="12"/>
        <v/>
      </c>
      <c r="I207" s="3" t="str">
        <f t="shared" si="13"/>
        <v/>
      </c>
      <c r="J207" s="3" t="str">
        <f t="shared" si="14"/>
        <v/>
      </c>
      <c r="K207" s="3" t="str">
        <f t="shared" si="15"/>
        <v/>
      </c>
    </row>
    <row r="208" spans="1:11">
      <c r="A208" s="3" t="str">
        <f>IF(LEN(Sheet1!C205)&lt;1,"",IF(LEN(Sheet1!C205)&gt;1,"Q","A"))</f>
        <v/>
      </c>
      <c r="B208" s="3" t="str">
        <f>IF(LEN(A208)&lt;1,"",Sheet1!P205)</f>
        <v/>
      </c>
      <c r="C208" s="3" t="str">
        <f>IF(LEN(A208)&lt;1,"",Sheet1!X205)</f>
        <v/>
      </c>
      <c r="E208" s="3" t="str">
        <f>IF(LEN(A208)&lt;1,"",Sheet1!M205)</f>
        <v/>
      </c>
      <c r="F208" s="3" t="str">
        <f>IF(ISBLANK(A208),"",Sheet1!N205)</f>
        <v/>
      </c>
      <c r="G208" s="3" t="str">
        <f>IF(ISBLANK(A208),"",Sheet1!O205)</f>
        <v/>
      </c>
      <c r="H208" s="3" t="str">
        <f t="shared" si="12"/>
        <v/>
      </c>
      <c r="I208" s="3" t="str">
        <f t="shared" si="13"/>
        <v/>
      </c>
      <c r="J208" s="3" t="str">
        <f t="shared" si="14"/>
        <v/>
      </c>
      <c r="K208" s="3" t="str">
        <f t="shared" si="15"/>
        <v/>
      </c>
    </row>
    <row r="209" spans="1:11">
      <c r="A209" s="3" t="str">
        <f>IF(LEN(Sheet1!C206)&lt;1,"",IF(LEN(Sheet1!C206)&gt;1,"Q","A"))</f>
        <v/>
      </c>
      <c r="B209" s="3" t="str">
        <f>IF(LEN(A209)&lt;1,"",Sheet1!P206)</f>
        <v/>
      </c>
      <c r="C209" s="3" t="str">
        <f>IF(LEN(A209)&lt;1,"",Sheet1!X206)</f>
        <v/>
      </c>
      <c r="E209" s="3" t="str">
        <f>IF(LEN(A209)&lt;1,"",Sheet1!M206)</f>
        <v/>
      </c>
      <c r="F209" s="3" t="str">
        <f>IF(ISBLANK(A209),"",Sheet1!N206)</f>
        <v/>
      </c>
      <c r="G209" s="3" t="str">
        <f>IF(ISBLANK(A209),"",Sheet1!O206)</f>
        <v/>
      </c>
      <c r="H209" s="3" t="str">
        <f t="shared" si="12"/>
        <v/>
      </c>
      <c r="I209" s="3" t="str">
        <f t="shared" si="13"/>
        <v/>
      </c>
      <c r="J209" s="3" t="str">
        <f t="shared" si="14"/>
        <v/>
      </c>
      <c r="K209" s="3" t="str">
        <f t="shared" si="15"/>
        <v/>
      </c>
    </row>
    <row r="210" spans="1:11">
      <c r="A210" s="3" t="str">
        <f>IF(LEN(Sheet1!C207)&lt;1,"",IF(LEN(Sheet1!C207)&gt;1,"Q","A"))</f>
        <v/>
      </c>
      <c r="B210" s="3" t="str">
        <f>IF(LEN(A210)&lt;1,"",Sheet1!P207)</f>
        <v/>
      </c>
      <c r="C210" s="3" t="str">
        <f>IF(LEN(A210)&lt;1,"",Sheet1!X207)</f>
        <v/>
      </c>
      <c r="E210" s="3" t="str">
        <f>IF(LEN(A210)&lt;1,"",Sheet1!M207)</f>
        <v/>
      </c>
      <c r="F210" s="3" t="str">
        <f>IF(ISBLANK(A210),"",Sheet1!N207)</f>
        <v/>
      </c>
      <c r="G210" s="3" t="str">
        <f>IF(ISBLANK(A210),"",Sheet1!O207)</f>
        <v/>
      </c>
      <c r="H210" s="3" t="str">
        <f t="shared" si="12"/>
        <v/>
      </c>
      <c r="I210" s="3" t="str">
        <f t="shared" si="13"/>
        <v/>
      </c>
      <c r="J210" s="3" t="str">
        <f t="shared" si="14"/>
        <v/>
      </c>
      <c r="K210" s="3" t="str">
        <f t="shared" si="15"/>
        <v/>
      </c>
    </row>
    <row r="211" spans="1:11">
      <c r="A211" s="3" t="str">
        <f>IF(LEN(Sheet1!C208)&lt;1,"",IF(LEN(Sheet1!C208)&gt;1,"Q","A"))</f>
        <v/>
      </c>
      <c r="B211" s="3" t="str">
        <f>IF(LEN(A211)&lt;1,"",Sheet1!P208)</f>
        <v/>
      </c>
      <c r="C211" s="3" t="str">
        <f>IF(LEN(A211)&lt;1,"",Sheet1!X208)</f>
        <v/>
      </c>
      <c r="E211" s="3" t="str">
        <f>IF(LEN(A211)&lt;1,"",Sheet1!M208)</f>
        <v/>
      </c>
      <c r="F211" s="3" t="str">
        <f>IF(ISBLANK(A211),"",Sheet1!N208)</f>
        <v/>
      </c>
      <c r="G211" s="3" t="str">
        <f>IF(ISBLANK(A211),"",Sheet1!O208)</f>
        <v/>
      </c>
      <c r="H211" s="3" t="str">
        <f t="shared" si="12"/>
        <v/>
      </c>
      <c r="I211" s="3" t="str">
        <f t="shared" si="13"/>
        <v/>
      </c>
      <c r="J211" s="3" t="str">
        <f t="shared" si="14"/>
        <v/>
      </c>
      <c r="K211" s="3" t="str">
        <f t="shared" si="15"/>
        <v/>
      </c>
    </row>
    <row r="212" spans="1:11">
      <c r="A212" s="3" t="str">
        <f>IF(LEN(Sheet1!C209)&lt;1,"",IF(LEN(Sheet1!C209)&gt;1,"Q","A"))</f>
        <v/>
      </c>
      <c r="B212" s="3" t="str">
        <f>IF(LEN(A212)&lt;1,"",Sheet1!P209)</f>
        <v/>
      </c>
      <c r="C212" s="3" t="str">
        <f>IF(LEN(A212)&lt;1,"",Sheet1!X209)</f>
        <v/>
      </c>
      <c r="E212" s="3" t="str">
        <f>IF(LEN(A212)&lt;1,"",Sheet1!M209)</f>
        <v/>
      </c>
      <c r="F212" s="3" t="str">
        <f>IF(ISBLANK(A212),"",Sheet1!N209)</f>
        <v/>
      </c>
      <c r="G212" s="3" t="str">
        <f>IF(ISBLANK(A212),"",Sheet1!O209)</f>
        <v/>
      </c>
      <c r="H212" s="3" t="str">
        <f t="shared" si="12"/>
        <v/>
      </c>
      <c r="I212" s="3" t="str">
        <f t="shared" si="13"/>
        <v/>
      </c>
      <c r="J212" s="3" t="str">
        <f t="shared" si="14"/>
        <v/>
      </c>
      <c r="K212" s="3" t="str">
        <f t="shared" si="15"/>
        <v/>
      </c>
    </row>
    <row r="213" spans="1:11">
      <c r="A213" s="3" t="str">
        <f>IF(LEN(Sheet1!C210)&lt;1,"",IF(LEN(Sheet1!C210)&gt;1,"Q","A"))</f>
        <v/>
      </c>
      <c r="B213" s="3" t="str">
        <f>IF(LEN(A213)&lt;1,"",Sheet1!P210)</f>
        <v/>
      </c>
      <c r="C213" s="3" t="str">
        <f>IF(LEN(A213)&lt;1,"",Sheet1!X210)</f>
        <v/>
      </c>
      <c r="E213" s="3" t="str">
        <f>IF(LEN(A213)&lt;1,"",Sheet1!M210)</f>
        <v/>
      </c>
      <c r="F213" s="3" t="str">
        <f>IF(ISBLANK(A213),"",Sheet1!N210)</f>
        <v/>
      </c>
      <c r="G213" s="3" t="str">
        <f>IF(ISBLANK(A213),"",Sheet1!O210)</f>
        <v/>
      </c>
      <c r="H213" s="3" t="str">
        <f t="shared" si="12"/>
        <v/>
      </c>
      <c r="I213" s="3" t="str">
        <f t="shared" si="13"/>
        <v/>
      </c>
      <c r="J213" s="3" t="str">
        <f t="shared" si="14"/>
        <v/>
      </c>
      <c r="K213" s="3" t="str">
        <f t="shared" si="15"/>
        <v/>
      </c>
    </row>
    <row r="214" spans="1:11">
      <c r="A214" s="3" t="str">
        <f>IF(LEN(Sheet1!C211)&lt;1,"",IF(LEN(Sheet1!C211)&gt;1,"Q","A"))</f>
        <v/>
      </c>
      <c r="B214" s="3" t="str">
        <f>IF(LEN(A214)&lt;1,"",Sheet1!P211)</f>
        <v/>
      </c>
      <c r="C214" s="3" t="str">
        <f>IF(LEN(A214)&lt;1,"",Sheet1!X211)</f>
        <v/>
      </c>
      <c r="E214" s="3" t="str">
        <f>IF(LEN(A214)&lt;1,"",Sheet1!M211)</f>
        <v/>
      </c>
      <c r="F214" s="3" t="str">
        <f>IF(ISBLANK(A214),"",Sheet1!N211)</f>
        <v/>
      </c>
      <c r="G214" s="3" t="str">
        <f>IF(ISBLANK(A214),"",Sheet1!O211)</f>
        <v/>
      </c>
      <c r="H214" s="3" t="str">
        <f t="shared" si="12"/>
        <v/>
      </c>
      <c r="I214" s="3" t="str">
        <f t="shared" si="13"/>
        <v/>
      </c>
      <c r="J214" s="3" t="str">
        <f t="shared" si="14"/>
        <v/>
      </c>
      <c r="K214" s="3" t="str">
        <f t="shared" si="15"/>
        <v/>
      </c>
    </row>
    <row r="215" spans="1:11">
      <c r="A215" s="3" t="str">
        <f>IF(LEN(Sheet1!C212)&lt;1,"",IF(LEN(Sheet1!C212)&gt;1,"Q","A"))</f>
        <v/>
      </c>
      <c r="B215" s="3" t="str">
        <f>IF(LEN(A215)&lt;1,"",Sheet1!P212)</f>
        <v/>
      </c>
      <c r="C215" s="3" t="str">
        <f>IF(LEN(A215)&lt;1,"",Sheet1!X212)</f>
        <v/>
      </c>
      <c r="E215" s="3" t="str">
        <f>IF(LEN(A215)&lt;1,"",Sheet1!M212)</f>
        <v/>
      </c>
      <c r="F215" s="3" t="str">
        <f>IF(ISBLANK(A215),"",Sheet1!N212)</f>
        <v/>
      </c>
      <c r="G215" s="3" t="str">
        <f>IF(ISBLANK(A215),"",Sheet1!O212)</f>
        <v/>
      </c>
      <c r="H215" s="3" t="str">
        <f t="shared" si="12"/>
        <v/>
      </c>
      <c r="I215" s="3" t="str">
        <f t="shared" si="13"/>
        <v/>
      </c>
      <c r="J215" s="3" t="str">
        <f t="shared" si="14"/>
        <v/>
      </c>
      <c r="K215" s="3" t="str">
        <f t="shared" si="15"/>
        <v/>
      </c>
    </row>
    <row r="216" spans="1:11">
      <c r="A216" s="3" t="str">
        <f>IF(LEN(Sheet1!C213)&lt;1,"",IF(LEN(Sheet1!C213)&gt;1,"Q","A"))</f>
        <v/>
      </c>
      <c r="B216" s="3" t="str">
        <f>IF(LEN(A216)&lt;1,"",Sheet1!P213)</f>
        <v/>
      </c>
      <c r="C216" s="3" t="str">
        <f>IF(LEN(A216)&lt;1,"",Sheet1!X213)</f>
        <v/>
      </c>
      <c r="E216" s="3" t="str">
        <f>IF(LEN(A216)&lt;1,"",Sheet1!M213)</f>
        <v/>
      </c>
      <c r="F216" s="3" t="str">
        <f>IF(ISBLANK(A216),"",Sheet1!N213)</f>
        <v/>
      </c>
      <c r="G216" s="3" t="str">
        <f>IF(ISBLANK(A216),"",Sheet1!O213)</f>
        <v/>
      </c>
      <c r="H216" s="3" t="str">
        <f t="shared" si="12"/>
        <v/>
      </c>
      <c r="I216" s="3" t="str">
        <f t="shared" si="13"/>
        <v/>
      </c>
      <c r="J216" s="3" t="str">
        <f t="shared" si="14"/>
        <v/>
      </c>
      <c r="K216" s="3" t="str">
        <f t="shared" si="15"/>
        <v/>
      </c>
    </row>
    <row r="217" spans="1:11">
      <c r="A217" s="3" t="str">
        <f>IF(LEN(Sheet1!C214)&lt;1,"",IF(LEN(Sheet1!C214)&gt;1,"Q","A"))</f>
        <v/>
      </c>
      <c r="B217" s="3" t="str">
        <f>IF(LEN(A217)&lt;1,"",Sheet1!P214)</f>
        <v/>
      </c>
      <c r="C217" s="3" t="str">
        <f>IF(LEN(A217)&lt;1,"",Sheet1!X214)</f>
        <v/>
      </c>
      <c r="E217" s="3" t="str">
        <f>IF(LEN(A217)&lt;1,"",Sheet1!M214)</f>
        <v/>
      </c>
      <c r="F217" s="3" t="str">
        <f>IF(ISBLANK(A217),"",Sheet1!N214)</f>
        <v/>
      </c>
      <c r="G217" s="3" t="str">
        <f>IF(ISBLANK(A217),"",Sheet1!O214)</f>
        <v/>
      </c>
      <c r="H217" s="3" t="str">
        <f t="shared" si="12"/>
        <v/>
      </c>
      <c r="I217" s="3" t="str">
        <f t="shared" si="13"/>
        <v/>
      </c>
      <c r="J217" s="3" t="str">
        <f t="shared" si="14"/>
        <v/>
      </c>
      <c r="K217" s="3" t="str">
        <f t="shared" si="15"/>
        <v/>
      </c>
    </row>
    <row r="218" spans="1:11">
      <c r="A218" s="3" t="str">
        <f>IF(LEN(Sheet1!C215)&lt;1,"",IF(LEN(Sheet1!C215)&gt;1,"Q","A"))</f>
        <v/>
      </c>
      <c r="B218" s="3" t="str">
        <f>IF(LEN(A218)&lt;1,"",Sheet1!P215)</f>
        <v/>
      </c>
      <c r="C218" s="3" t="str">
        <f>IF(LEN(A218)&lt;1,"",Sheet1!X215)</f>
        <v/>
      </c>
      <c r="E218" s="3" t="str">
        <f>IF(LEN(A218)&lt;1,"",Sheet1!M215)</f>
        <v/>
      </c>
      <c r="F218" s="3" t="str">
        <f>IF(ISBLANK(A218),"",Sheet1!N215)</f>
        <v/>
      </c>
      <c r="G218" s="3" t="str">
        <f>IF(ISBLANK(A218),"",Sheet1!O215)</f>
        <v/>
      </c>
      <c r="H218" s="3" t="str">
        <f t="shared" si="12"/>
        <v/>
      </c>
      <c r="I218" s="3" t="str">
        <f t="shared" si="13"/>
        <v/>
      </c>
      <c r="J218" s="3" t="str">
        <f t="shared" si="14"/>
        <v/>
      </c>
      <c r="K218" s="3" t="str">
        <f t="shared" si="15"/>
        <v/>
      </c>
    </row>
    <row r="219" spans="1:11">
      <c r="A219" s="3" t="str">
        <f>IF(LEN(Sheet1!C216)&lt;1,"",IF(LEN(Sheet1!C216)&gt;1,"Q","A"))</f>
        <v/>
      </c>
      <c r="B219" s="3" t="str">
        <f>IF(LEN(A219)&lt;1,"",Sheet1!P216)</f>
        <v/>
      </c>
      <c r="C219" s="3" t="str">
        <f>IF(LEN(A219)&lt;1,"",Sheet1!X216)</f>
        <v/>
      </c>
      <c r="E219" s="3" t="str">
        <f>IF(LEN(A219)&lt;1,"",Sheet1!M216)</f>
        <v/>
      </c>
      <c r="F219" s="3" t="str">
        <f>IF(ISBLANK(A219),"",Sheet1!N216)</f>
        <v/>
      </c>
      <c r="G219" s="3" t="str">
        <f>IF(ISBLANK(A219),"",Sheet1!O216)</f>
        <v/>
      </c>
      <c r="H219" s="3" t="str">
        <f t="shared" si="12"/>
        <v/>
      </c>
      <c r="I219" s="3" t="str">
        <f t="shared" si="13"/>
        <v/>
      </c>
      <c r="J219" s="3" t="str">
        <f t="shared" si="14"/>
        <v/>
      </c>
      <c r="K219" s="3" t="str">
        <f t="shared" si="15"/>
        <v/>
      </c>
    </row>
    <row r="220" spans="1:11">
      <c r="A220" s="3" t="str">
        <f>IF(LEN(Sheet1!C217)&lt;1,"",IF(LEN(Sheet1!C217)&gt;1,"Q","A"))</f>
        <v/>
      </c>
      <c r="B220" s="3" t="str">
        <f>IF(LEN(A220)&lt;1,"",Sheet1!P217)</f>
        <v/>
      </c>
      <c r="C220" s="3" t="str">
        <f>IF(LEN(A220)&lt;1,"",Sheet1!X217)</f>
        <v/>
      </c>
      <c r="E220" s="3" t="str">
        <f>IF(LEN(A220)&lt;1,"",Sheet1!M217)</f>
        <v/>
      </c>
      <c r="F220" s="3" t="str">
        <f>IF(ISBLANK(A220),"",Sheet1!N217)</f>
        <v/>
      </c>
      <c r="G220" s="3" t="str">
        <f>IF(ISBLANK(A220),"",Sheet1!O217)</f>
        <v/>
      </c>
      <c r="H220" s="3" t="str">
        <f t="shared" si="12"/>
        <v/>
      </c>
      <c r="I220" s="3" t="str">
        <f t="shared" si="13"/>
        <v/>
      </c>
      <c r="J220" s="3" t="str">
        <f t="shared" si="14"/>
        <v/>
      </c>
      <c r="K220" s="3" t="str">
        <f t="shared" si="15"/>
        <v/>
      </c>
    </row>
    <row r="221" spans="1:11">
      <c r="A221" s="3" t="str">
        <f>IF(LEN(Sheet1!C218)&lt;1,"",IF(LEN(Sheet1!C218)&gt;1,"Q","A"))</f>
        <v/>
      </c>
      <c r="B221" s="3" t="str">
        <f>IF(LEN(A221)&lt;1,"",Sheet1!P218)</f>
        <v/>
      </c>
      <c r="C221" s="3" t="str">
        <f>IF(LEN(A221)&lt;1,"",Sheet1!X218)</f>
        <v/>
      </c>
      <c r="E221" s="3" t="str">
        <f>IF(LEN(A221)&lt;1,"",Sheet1!M218)</f>
        <v/>
      </c>
      <c r="F221" s="3" t="str">
        <f>IF(ISBLANK(A221),"",Sheet1!N218)</f>
        <v/>
      </c>
      <c r="G221" s="3" t="str">
        <f>IF(ISBLANK(A221),"",Sheet1!O218)</f>
        <v/>
      </c>
      <c r="H221" s="3" t="str">
        <f t="shared" si="12"/>
        <v/>
      </c>
      <c r="I221" s="3" t="str">
        <f t="shared" si="13"/>
        <v/>
      </c>
      <c r="J221" s="3" t="str">
        <f t="shared" si="14"/>
        <v/>
      </c>
      <c r="K221" s="3" t="str">
        <f t="shared" si="15"/>
        <v/>
      </c>
    </row>
    <row r="222" spans="1:11">
      <c r="A222" s="3" t="str">
        <f>IF(LEN(Sheet1!C219)&lt;1,"",IF(LEN(Sheet1!C219)&gt;1,"Q","A"))</f>
        <v/>
      </c>
      <c r="B222" s="3" t="str">
        <f>IF(LEN(A222)&lt;1,"",Sheet1!P219)</f>
        <v/>
      </c>
      <c r="C222" s="3" t="str">
        <f>IF(LEN(A222)&lt;1,"",Sheet1!X219)</f>
        <v/>
      </c>
      <c r="E222" s="3" t="str">
        <f>IF(LEN(A222)&lt;1,"",Sheet1!M219)</f>
        <v/>
      </c>
      <c r="F222" s="3" t="str">
        <f>IF(ISBLANK(A222),"",Sheet1!N219)</f>
        <v/>
      </c>
      <c r="G222" s="3" t="str">
        <f>IF(ISBLANK(A222),"",Sheet1!O219)</f>
        <v/>
      </c>
      <c r="H222" s="3" t="str">
        <f t="shared" si="12"/>
        <v/>
      </c>
      <c r="I222" s="3" t="str">
        <f t="shared" si="13"/>
        <v/>
      </c>
      <c r="J222" s="3" t="str">
        <f t="shared" si="14"/>
        <v/>
      </c>
      <c r="K222" s="3" t="str">
        <f t="shared" si="15"/>
        <v/>
      </c>
    </row>
    <row r="223" spans="1:11">
      <c r="A223" s="3" t="str">
        <f>IF(LEN(Sheet1!C220)&lt;1,"",IF(LEN(Sheet1!C220)&gt;1,"Q","A"))</f>
        <v/>
      </c>
      <c r="B223" s="3" t="str">
        <f>IF(LEN(A223)&lt;1,"",Sheet1!P220)</f>
        <v/>
      </c>
      <c r="C223" s="3" t="str">
        <f>IF(LEN(A223)&lt;1,"",Sheet1!X220)</f>
        <v/>
      </c>
      <c r="E223" s="3" t="str">
        <f>IF(LEN(A223)&lt;1,"",Sheet1!M220)</f>
        <v/>
      </c>
      <c r="F223" s="3" t="str">
        <f>IF(ISBLANK(A223),"",Sheet1!N220)</f>
        <v/>
      </c>
      <c r="G223" s="3" t="str">
        <f>IF(ISBLANK(A223),"",Sheet1!O220)</f>
        <v/>
      </c>
      <c r="H223" s="3" t="str">
        <f t="shared" si="12"/>
        <v/>
      </c>
      <c r="I223" s="3" t="str">
        <f t="shared" si="13"/>
        <v/>
      </c>
      <c r="J223" s="3" t="str">
        <f t="shared" si="14"/>
        <v/>
      </c>
      <c r="K223" s="3" t="str">
        <f t="shared" si="15"/>
        <v/>
      </c>
    </row>
    <row r="224" spans="1:11">
      <c r="A224" s="3" t="str">
        <f>IF(LEN(Sheet1!C221)&lt;1,"",IF(LEN(Sheet1!C221)&gt;1,"Q","A"))</f>
        <v/>
      </c>
      <c r="B224" s="3" t="str">
        <f>IF(LEN(A224)&lt;1,"",Sheet1!P221)</f>
        <v/>
      </c>
      <c r="C224" s="3" t="str">
        <f>IF(LEN(A224)&lt;1,"",Sheet1!X221)</f>
        <v/>
      </c>
      <c r="E224" s="3" t="str">
        <f>IF(LEN(A224)&lt;1,"",Sheet1!M221)</f>
        <v/>
      </c>
      <c r="F224" s="3" t="str">
        <f>IF(ISBLANK(A224),"",Sheet1!N221)</f>
        <v/>
      </c>
      <c r="G224" s="3" t="str">
        <f>IF(ISBLANK(A224),"",Sheet1!O221)</f>
        <v/>
      </c>
      <c r="H224" s="3" t="str">
        <f t="shared" si="12"/>
        <v/>
      </c>
      <c r="I224" s="3" t="str">
        <f t="shared" si="13"/>
        <v/>
      </c>
      <c r="J224" s="3" t="str">
        <f t="shared" si="14"/>
        <v/>
      </c>
      <c r="K224" s="3" t="str">
        <f t="shared" si="15"/>
        <v/>
      </c>
    </row>
    <row r="225" spans="1:11">
      <c r="A225" s="3" t="str">
        <f>IF(LEN(Sheet1!C222)&lt;1,"",IF(LEN(Sheet1!C222)&gt;1,"Q","A"))</f>
        <v/>
      </c>
      <c r="B225" s="3" t="str">
        <f>IF(LEN(A225)&lt;1,"",Sheet1!P222)</f>
        <v/>
      </c>
      <c r="C225" s="3" t="str">
        <f>IF(LEN(A225)&lt;1,"",Sheet1!X222)</f>
        <v/>
      </c>
      <c r="E225" s="3" t="str">
        <f>IF(LEN(A225)&lt;1,"",Sheet1!M222)</f>
        <v/>
      </c>
      <c r="F225" s="3" t="str">
        <f>IF(ISBLANK(A225),"",Sheet1!N222)</f>
        <v/>
      </c>
      <c r="G225" s="3" t="str">
        <f>IF(ISBLANK(A225),"",Sheet1!O222)</f>
        <v/>
      </c>
      <c r="H225" s="3" t="str">
        <f t="shared" si="12"/>
        <v/>
      </c>
      <c r="I225" s="3" t="str">
        <f t="shared" si="13"/>
        <v/>
      </c>
      <c r="J225" s="3" t="str">
        <f t="shared" si="14"/>
        <v/>
      </c>
      <c r="K225" s="3" t="str">
        <f t="shared" si="15"/>
        <v/>
      </c>
    </row>
    <row r="226" spans="1:11">
      <c r="A226" s="3" t="str">
        <f>IF(LEN(Sheet1!C223)&lt;1,"",IF(LEN(Sheet1!C223)&gt;1,"Q","A"))</f>
        <v/>
      </c>
      <c r="B226" s="3" t="str">
        <f>IF(LEN(A226)&lt;1,"",Sheet1!P223)</f>
        <v/>
      </c>
      <c r="C226" s="3" t="str">
        <f>IF(LEN(A226)&lt;1,"",Sheet1!X223)</f>
        <v/>
      </c>
      <c r="E226" s="3" t="str">
        <f>IF(LEN(A226)&lt;1,"",Sheet1!M223)</f>
        <v/>
      </c>
      <c r="F226" s="3" t="str">
        <f>IF(ISBLANK(A226),"",Sheet1!N223)</f>
        <v/>
      </c>
      <c r="G226" s="3" t="str">
        <f>IF(ISBLANK(A226),"",Sheet1!O223)</f>
        <v/>
      </c>
      <c r="H226" s="3" t="str">
        <f t="shared" si="12"/>
        <v/>
      </c>
      <c r="I226" s="3" t="str">
        <f t="shared" si="13"/>
        <v/>
      </c>
      <c r="J226" s="3" t="str">
        <f t="shared" si="14"/>
        <v/>
      </c>
      <c r="K226" s="3" t="str">
        <f t="shared" si="15"/>
        <v/>
      </c>
    </row>
    <row r="227" spans="1:11">
      <c r="A227" s="3" t="str">
        <f>IF(LEN(Sheet1!C224)&lt;1,"",IF(LEN(Sheet1!C224)&gt;1,"Q","A"))</f>
        <v/>
      </c>
      <c r="B227" s="3" t="str">
        <f>IF(LEN(A227)&lt;1,"",Sheet1!P224)</f>
        <v/>
      </c>
      <c r="C227" s="3" t="str">
        <f>IF(LEN(A227)&lt;1,"",Sheet1!X224)</f>
        <v/>
      </c>
      <c r="E227" s="3" t="str">
        <f>IF(LEN(A227)&lt;1,"",Sheet1!M224)</f>
        <v/>
      </c>
      <c r="F227" s="3" t="str">
        <f>IF(ISBLANK(A227),"",Sheet1!N224)</f>
        <v/>
      </c>
      <c r="G227" s="3" t="str">
        <f>IF(ISBLANK(A227),"",Sheet1!O224)</f>
        <v/>
      </c>
      <c r="H227" s="3" t="str">
        <f t="shared" si="12"/>
        <v/>
      </c>
      <c r="I227" s="3" t="str">
        <f t="shared" si="13"/>
        <v/>
      </c>
      <c r="J227" s="3" t="str">
        <f t="shared" si="14"/>
        <v/>
      </c>
      <c r="K227" s="3" t="str">
        <f t="shared" si="15"/>
        <v/>
      </c>
    </row>
    <row r="228" spans="1:11">
      <c r="A228" s="3" t="str">
        <f>IF(LEN(Sheet1!C225)&lt;1,"",IF(LEN(Sheet1!C225)&gt;1,"Q","A"))</f>
        <v/>
      </c>
      <c r="B228" s="3" t="str">
        <f>IF(LEN(A228)&lt;1,"",Sheet1!P225)</f>
        <v/>
      </c>
      <c r="C228" s="3" t="str">
        <f>IF(LEN(A228)&lt;1,"",Sheet1!X225)</f>
        <v/>
      </c>
      <c r="E228" s="3" t="str">
        <f>IF(LEN(A228)&lt;1,"",Sheet1!M225)</f>
        <v/>
      </c>
      <c r="F228" s="3" t="str">
        <f>IF(ISBLANK(A228),"",Sheet1!N225)</f>
        <v/>
      </c>
      <c r="G228" s="3" t="str">
        <f>IF(ISBLANK(A228),"",Sheet1!O225)</f>
        <v/>
      </c>
      <c r="H228" s="3" t="str">
        <f t="shared" si="12"/>
        <v/>
      </c>
      <c r="I228" s="3" t="str">
        <f t="shared" si="13"/>
        <v/>
      </c>
      <c r="J228" s="3" t="str">
        <f t="shared" si="14"/>
        <v/>
      </c>
      <c r="K228" s="3" t="str">
        <f t="shared" si="15"/>
        <v/>
      </c>
    </row>
    <row r="229" spans="1:11">
      <c r="A229" s="3" t="str">
        <f>IF(LEN(Sheet1!C226)&lt;1,"",IF(LEN(Sheet1!C226)&gt;1,"Q","A"))</f>
        <v/>
      </c>
      <c r="B229" s="3" t="str">
        <f>IF(LEN(A229)&lt;1,"",Sheet1!P226)</f>
        <v/>
      </c>
      <c r="C229" s="3" t="str">
        <f>IF(LEN(A229)&lt;1,"",Sheet1!X226)</f>
        <v/>
      </c>
      <c r="E229" s="3" t="str">
        <f>IF(LEN(A229)&lt;1,"",Sheet1!M226)</f>
        <v/>
      </c>
      <c r="F229" s="3" t="str">
        <f>IF(ISBLANK(A229),"",Sheet1!N226)</f>
        <v/>
      </c>
      <c r="G229" s="3" t="str">
        <f>IF(ISBLANK(A229),"",Sheet1!O226)</f>
        <v/>
      </c>
      <c r="H229" s="3" t="str">
        <f t="shared" si="12"/>
        <v/>
      </c>
      <c r="I229" s="3" t="str">
        <f t="shared" si="13"/>
        <v/>
      </c>
      <c r="J229" s="3" t="str">
        <f t="shared" si="14"/>
        <v/>
      </c>
      <c r="K229" s="3" t="str">
        <f t="shared" si="15"/>
        <v/>
      </c>
    </row>
    <row r="230" spans="1:11">
      <c r="A230" s="3" t="str">
        <f>IF(LEN(Sheet1!C227)&lt;1,"",IF(LEN(Sheet1!C227)&gt;1,"Q","A"))</f>
        <v/>
      </c>
      <c r="B230" s="3" t="str">
        <f>IF(LEN(A230)&lt;1,"",Sheet1!P227)</f>
        <v/>
      </c>
      <c r="C230" s="3" t="str">
        <f>IF(LEN(A230)&lt;1,"",Sheet1!X227)</f>
        <v/>
      </c>
      <c r="E230" s="3" t="str">
        <f>IF(LEN(A230)&lt;1,"",Sheet1!M227)</f>
        <v/>
      </c>
      <c r="F230" s="3" t="str">
        <f>IF(ISBLANK(A230),"",Sheet1!N227)</f>
        <v/>
      </c>
      <c r="G230" s="3" t="str">
        <f>IF(ISBLANK(A230),"",Sheet1!O227)</f>
        <v/>
      </c>
      <c r="H230" s="3" t="str">
        <f t="shared" si="12"/>
        <v/>
      </c>
      <c r="I230" s="3" t="str">
        <f t="shared" si="13"/>
        <v/>
      </c>
      <c r="J230" s="3" t="str">
        <f t="shared" si="14"/>
        <v/>
      </c>
      <c r="K230" s="3" t="str">
        <f t="shared" si="15"/>
        <v/>
      </c>
    </row>
    <row r="231" spans="1:11">
      <c r="A231" s="3" t="str">
        <f>IF(LEN(Sheet1!C228)&lt;1,"",IF(LEN(Sheet1!C228)&gt;1,"Q","A"))</f>
        <v/>
      </c>
      <c r="B231" s="3" t="str">
        <f>IF(LEN(A231)&lt;1,"",Sheet1!P228)</f>
        <v/>
      </c>
      <c r="C231" s="3" t="str">
        <f>IF(LEN(A231)&lt;1,"",Sheet1!X228)</f>
        <v/>
      </c>
      <c r="E231" s="3" t="str">
        <f>IF(LEN(A231)&lt;1,"",Sheet1!M228)</f>
        <v/>
      </c>
      <c r="F231" s="3" t="str">
        <f>IF(ISBLANK(A231),"",Sheet1!N228)</f>
        <v/>
      </c>
      <c r="G231" s="3" t="str">
        <f>IF(ISBLANK(A231),"",Sheet1!O228)</f>
        <v/>
      </c>
      <c r="H231" s="3" t="str">
        <f t="shared" si="12"/>
        <v/>
      </c>
      <c r="I231" s="3" t="str">
        <f t="shared" si="13"/>
        <v/>
      </c>
      <c r="J231" s="3" t="str">
        <f t="shared" si="14"/>
        <v/>
      </c>
      <c r="K231" s="3" t="str">
        <f t="shared" si="15"/>
        <v/>
      </c>
    </row>
    <row r="232" spans="1:11">
      <c r="A232" s="3" t="str">
        <f>IF(LEN(Sheet1!C229)&lt;1,"",IF(LEN(Sheet1!C229)&gt;1,"Q","A"))</f>
        <v/>
      </c>
      <c r="B232" s="3" t="str">
        <f>IF(LEN(A232)&lt;1,"",Sheet1!P229)</f>
        <v/>
      </c>
      <c r="C232" s="3" t="str">
        <f>IF(LEN(A232)&lt;1,"",Sheet1!X229)</f>
        <v/>
      </c>
      <c r="E232" s="3" t="str">
        <f>IF(LEN(A232)&lt;1,"",Sheet1!M229)</f>
        <v/>
      </c>
      <c r="F232" s="3" t="str">
        <f>IF(ISBLANK(A232),"",Sheet1!N229)</f>
        <v/>
      </c>
      <c r="G232" s="3" t="str">
        <f>IF(ISBLANK(A232),"",Sheet1!O229)</f>
        <v/>
      </c>
      <c r="H232" s="3" t="str">
        <f t="shared" si="12"/>
        <v/>
      </c>
      <c r="I232" s="3" t="str">
        <f t="shared" si="13"/>
        <v/>
      </c>
      <c r="J232" s="3" t="str">
        <f t="shared" si="14"/>
        <v/>
      </c>
      <c r="K232" s="3" t="str">
        <f t="shared" si="15"/>
        <v/>
      </c>
    </row>
    <row r="233" spans="1:11">
      <c r="A233" s="3" t="str">
        <f>IF(LEN(Sheet1!C230)&lt;1,"",IF(LEN(Sheet1!C230)&gt;1,"Q","A"))</f>
        <v/>
      </c>
      <c r="B233" s="3" t="str">
        <f>IF(LEN(A233)&lt;1,"",Sheet1!P230)</f>
        <v/>
      </c>
      <c r="C233" s="3" t="str">
        <f>IF(LEN(A233)&lt;1,"",Sheet1!X230)</f>
        <v/>
      </c>
      <c r="E233" s="3" t="str">
        <f>IF(LEN(A233)&lt;1,"",Sheet1!M230)</f>
        <v/>
      </c>
      <c r="F233" s="3" t="str">
        <f>IF(ISBLANK(A233),"",Sheet1!N230)</f>
        <v/>
      </c>
      <c r="G233" s="3" t="str">
        <f>IF(ISBLANK(A233),"",Sheet1!O230)</f>
        <v/>
      </c>
      <c r="H233" s="3" t="str">
        <f t="shared" si="12"/>
        <v/>
      </c>
      <c r="I233" s="3" t="str">
        <f t="shared" si="13"/>
        <v/>
      </c>
      <c r="J233" s="3" t="str">
        <f t="shared" si="14"/>
        <v/>
      </c>
      <c r="K233" s="3" t="str">
        <f t="shared" si="15"/>
        <v/>
      </c>
    </row>
    <row r="234" spans="1:11">
      <c r="A234" s="3" t="str">
        <f>IF(LEN(Sheet1!C231)&lt;1,"",IF(LEN(Sheet1!C231)&gt;1,"Q","A"))</f>
        <v/>
      </c>
      <c r="B234" s="3" t="str">
        <f>IF(LEN(A234)&lt;1,"",Sheet1!P231)</f>
        <v/>
      </c>
      <c r="C234" s="3" t="str">
        <f>IF(LEN(A234)&lt;1,"",Sheet1!X231)</f>
        <v/>
      </c>
      <c r="E234" s="3" t="str">
        <f>IF(LEN(A234)&lt;1,"",Sheet1!M231)</f>
        <v/>
      </c>
      <c r="F234" s="3" t="str">
        <f>IF(ISBLANK(A234),"",Sheet1!N231)</f>
        <v/>
      </c>
      <c r="G234" s="3" t="str">
        <f>IF(ISBLANK(A234),"",Sheet1!O231)</f>
        <v/>
      </c>
      <c r="H234" s="3" t="str">
        <f t="shared" si="12"/>
        <v/>
      </c>
      <c r="I234" s="3" t="str">
        <f t="shared" si="13"/>
        <v/>
      </c>
      <c r="J234" s="3" t="str">
        <f t="shared" si="14"/>
        <v/>
      </c>
      <c r="K234" s="3" t="str">
        <f t="shared" si="15"/>
        <v/>
      </c>
    </row>
    <row r="235" spans="1:11">
      <c r="A235" s="3" t="str">
        <f>IF(LEN(Sheet1!C232)&lt;1,"",IF(LEN(Sheet1!C232)&gt;1,"Q","A"))</f>
        <v/>
      </c>
      <c r="B235" s="3" t="str">
        <f>IF(LEN(A235)&lt;1,"",Sheet1!P232)</f>
        <v/>
      </c>
      <c r="C235" s="3" t="str">
        <f>IF(LEN(A235)&lt;1,"",Sheet1!X232)</f>
        <v/>
      </c>
      <c r="E235" s="3" t="str">
        <f>IF(LEN(A235)&lt;1,"",Sheet1!M232)</f>
        <v/>
      </c>
      <c r="F235" s="3" t="str">
        <f>IF(ISBLANK(A235),"",Sheet1!N232)</f>
        <v/>
      </c>
      <c r="G235" s="3" t="str">
        <f>IF(ISBLANK(A235),"",Sheet1!O232)</f>
        <v/>
      </c>
      <c r="H235" s="3" t="str">
        <f t="shared" si="12"/>
        <v/>
      </c>
      <c r="I235" s="3" t="str">
        <f t="shared" si="13"/>
        <v/>
      </c>
      <c r="J235" s="3" t="str">
        <f t="shared" si="14"/>
        <v/>
      </c>
      <c r="K235" s="3" t="str">
        <f t="shared" si="15"/>
        <v/>
      </c>
    </row>
    <row r="236" spans="1:11">
      <c r="A236" s="3" t="str">
        <f>IF(LEN(Sheet1!C233)&lt;1,"",IF(LEN(Sheet1!C233)&gt;1,"Q","A"))</f>
        <v/>
      </c>
      <c r="B236" s="3" t="str">
        <f>IF(LEN(A236)&lt;1,"",Sheet1!P233)</f>
        <v/>
      </c>
      <c r="C236" s="3" t="str">
        <f>IF(LEN(A236)&lt;1,"",Sheet1!X233)</f>
        <v/>
      </c>
      <c r="E236" s="3" t="str">
        <f>IF(LEN(A236)&lt;1,"",Sheet1!M233)</f>
        <v/>
      </c>
      <c r="F236" s="3" t="str">
        <f>IF(ISBLANK(A236),"",Sheet1!N233)</f>
        <v/>
      </c>
      <c r="G236" s="3" t="str">
        <f>IF(ISBLANK(A236),"",Sheet1!O233)</f>
        <v/>
      </c>
      <c r="H236" s="3" t="str">
        <f t="shared" si="12"/>
        <v/>
      </c>
      <c r="I236" s="3" t="str">
        <f t="shared" si="13"/>
        <v/>
      </c>
      <c r="J236" s="3" t="str">
        <f t="shared" si="14"/>
        <v/>
      </c>
      <c r="K236" s="3" t="str">
        <f t="shared" si="15"/>
        <v/>
      </c>
    </row>
    <row r="237" spans="1:11">
      <c r="A237" s="3" t="str">
        <f>IF(LEN(Sheet1!C234)&lt;1,"",IF(LEN(Sheet1!C234)&gt;1,"Q","A"))</f>
        <v/>
      </c>
      <c r="B237" s="3" t="str">
        <f>IF(LEN(A237)&lt;1,"",Sheet1!P234)</f>
        <v/>
      </c>
      <c r="C237" s="3" t="str">
        <f>IF(LEN(A237)&lt;1,"",Sheet1!X234)</f>
        <v/>
      </c>
      <c r="E237" s="3" t="str">
        <f>IF(LEN(A237)&lt;1,"",Sheet1!M234)</f>
        <v/>
      </c>
      <c r="F237" s="3" t="str">
        <f>IF(ISBLANK(A237),"",Sheet1!N234)</f>
        <v/>
      </c>
      <c r="G237" s="3" t="str">
        <f>IF(ISBLANK(A237),"",Sheet1!O234)</f>
        <v/>
      </c>
      <c r="H237" s="3" t="str">
        <f t="shared" si="12"/>
        <v/>
      </c>
      <c r="I237" s="3" t="str">
        <f t="shared" si="13"/>
        <v/>
      </c>
      <c r="J237" s="3" t="str">
        <f t="shared" si="14"/>
        <v/>
      </c>
      <c r="K237" s="3" t="str">
        <f t="shared" si="15"/>
        <v/>
      </c>
    </row>
    <row r="238" spans="1:11">
      <c r="A238" s="3" t="str">
        <f>IF(LEN(Sheet1!C235)&lt;1,"",IF(LEN(Sheet1!C235)&gt;1,"Q","A"))</f>
        <v/>
      </c>
      <c r="B238" s="3" t="str">
        <f>IF(LEN(A238)&lt;1,"",Sheet1!P235)</f>
        <v/>
      </c>
      <c r="C238" s="3" t="str">
        <f>IF(LEN(A238)&lt;1,"",Sheet1!X235)</f>
        <v/>
      </c>
      <c r="E238" s="3" t="str">
        <f>IF(LEN(A238)&lt;1,"",Sheet1!M235)</f>
        <v/>
      </c>
      <c r="F238" s="3" t="str">
        <f>IF(ISBLANK(A238),"",Sheet1!N235)</f>
        <v/>
      </c>
      <c r="G238" s="3" t="str">
        <f>IF(ISBLANK(A238),"",Sheet1!O235)</f>
        <v/>
      </c>
      <c r="H238" s="3" t="str">
        <f t="shared" si="12"/>
        <v/>
      </c>
      <c r="I238" s="3" t="str">
        <f t="shared" si="13"/>
        <v/>
      </c>
      <c r="J238" s="3" t="str">
        <f t="shared" si="14"/>
        <v/>
      </c>
      <c r="K238" s="3" t="str">
        <f t="shared" si="15"/>
        <v/>
      </c>
    </row>
    <row r="239" spans="1:11">
      <c r="A239" s="3" t="str">
        <f>IF(LEN(Sheet1!C236)&lt;1,"",IF(LEN(Sheet1!C236)&gt;1,"Q","A"))</f>
        <v/>
      </c>
      <c r="B239" s="3" t="str">
        <f>IF(LEN(A239)&lt;1,"",Sheet1!P236)</f>
        <v/>
      </c>
      <c r="C239" s="3" t="str">
        <f>IF(LEN(A239)&lt;1,"",Sheet1!X236)</f>
        <v/>
      </c>
      <c r="E239" s="3" t="str">
        <f>IF(LEN(A239)&lt;1,"",Sheet1!M236)</f>
        <v/>
      </c>
      <c r="F239" s="3" t="str">
        <f>IF(ISBLANK(A239),"",Sheet1!N236)</f>
        <v/>
      </c>
      <c r="G239" s="3" t="str">
        <f>IF(ISBLANK(A239),"",Sheet1!O236)</f>
        <v/>
      </c>
      <c r="H239" s="3" t="str">
        <f t="shared" si="12"/>
        <v/>
      </c>
      <c r="I239" s="3" t="str">
        <f t="shared" si="13"/>
        <v/>
      </c>
      <c r="J239" s="3" t="str">
        <f t="shared" si="14"/>
        <v/>
      </c>
      <c r="K239" s="3" t="str">
        <f t="shared" si="15"/>
        <v/>
      </c>
    </row>
    <row r="240" spans="1:11">
      <c r="A240" s="3" t="str">
        <f>IF(LEN(Sheet1!C237)&lt;1,"",IF(LEN(Sheet1!C237)&gt;1,"Q","A"))</f>
        <v/>
      </c>
      <c r="B240" s="3" t="str">
        <f>IF(LEN(A240)&lt;1,"",Sheet1!P237)</f>
        <v/>
      </c>
      <c r="C240" s="3" t="str">
        <f>IF(LEN(A240)&lt;1,"",Sheet1!X237)</f>
        <v/>
      </c>
      <c r="E240" s="3" t="str">
        <f>IF(LEN(A240)&lt;1,"",Sheet1!M237)</f>
        <v/>
      </c>
      <c r="F240" s="3" t="str">
        <f>IF(ISBLANK(A240),"",Sheet1!N237)</f>
        <v/>
      </c>
      <c r="G240" s="3" t="str">
        <f>IF(ISBLANK(A240),"",Sheet1!O237)</f>
        <v/>
      </c>
      <c r="H240" s="3" t="str">
        <f t="shared" si="12"/>
        <v/>
      </c>
      <c r="I240" s="3" t="str">
        <f t="shared" si="13"/>
        <v/>
      </c>
      <c r="J240" s="3" t="str">
        <f t="shared" si="14"/>
        <v/>
      </c>
      <c r="K240" s="3" t="str">
        <f t="shared" si="15"/>
        <v/>
      </c>
    </row>
    <row r="241" spans="1:11">
      <c r="A241" s="3" t="str">
        <f>IF(LEN(Sheet1!C238)&lt;1,"",IF(LEN(Sheet1!C238)&gt;1,"Q","A"))</f>
        <v/>
      </c>
      <c r="B241" s="3" t="str">
        <f>IF(LEN(A241)&lt;1,"",Sheet1!P238)</f>
        <v/>
      </c>
      <c r="C241" s="3" t="str">
        <f>IF(LEN(A241)&lt;1,"",Sheet1!X238)</f>
        <v/>
      </c>
      <c r="E241" s="3" t="str">
        <f>IF(LEN(A241)&lt;1,"",Sheet1!M238)</f>
        <v/>
      </c>
      <c r="F241" s="3" t="str">
        <f>IF(ISBLANK(A241),"",Sheet1!N238)</f>
        <v/>
      </c>
      <c r="G241" s="3" t="str">
        <f>IF(ISBLANK(A241),"",Sheet1!O238)</f>
        <v/>
      </c>
      <c r="H241" s="3" t="str">
        <f t="shared" si="12"/>
        <v/>
      </c>
      <c r="I241" s="3" t="str">
        <f t="shared" si="13"/>
        <v/>
      </c>
      <c r="J241" s="3" t="str">
        <f t="shared" si="14"/>
        <v/>
      </c>
      <c r="K241" s="3" t="str">
        <f t="shared" si="15"/>
        <v/>
      </c>
    </row>
    <row r="242" spans="1:11">
      <c r="A242" s="3" t="str">
        <f>IF(LEN(Sheet1!C239)&lt;1,"",IF(LEN(Sheet1!C239)&gt;1,"Q","A"))</f>
        <v/>
      </c>
      <c r="B242" s="3" t="str">
        <f>IF(LEN(A242)&lt;1,"",Sheet1!P239)</f>
        <v/>
      </c>
      <c r="C242" s="3" t="str">
        <f>IF(LEN(A242)&lt;1,"",Sheet1!X239)</f>
        <v/>
      </c>
      <c r="E242" s="3" t="str">
        <f>IF(LEN(A242)&lt;1,"",Sheet1!M239)</f>
        <v/>
      </c>
      <c r="F242" s="3" t="str">
        <f>IF(ISBLANK(A242),"",Sheet1!N239)</f>
        <v/>
      </c>
      <c r="G242" s="3" t="str">
        <f>IF(ISBLANK(A242),"",Sheet1!O239)</f>
        <v/>
      </c>
      <c r="H242" s="3" t="str">
        <f t="shared" si="12"/>
        <v/>
      </c>
      <c r="I242" s="3" t="str">
        <f t="shared" si="13"/>
        <v/>
      </c>
      <c r="J242" s="3" t="str">
        <f t="shared" si="14"/>
        <v/>
      </c>
      <c r="K242" s="3" t="str">
        <f t="shared" si="15"/>
        <v/>
      </c>
    </row>
    <row r="243" spans="1:11">
      <c r="A243" s="3" t="str">
        <f>IF(LEN(Sheet1!C240)&lt;1,"",IF(LEN(Sheet1!C240)&gt;1,"Q","A"))</f>
        <v/>
      </c>
      <c r="B243" s="3" t="str">
        <f>IF(LEN(A243)&lt;1,"",Sheet1!P240)</f>
        <v/>
      </c>
      <c r="C243" s="3" t="str">
        <f>IF(LEN(A243)&lt;1,"",Sheet1!X240)</f>
        <v/>
      </c>
      <c r="E243" s="3" t="str">
        <f>IF(LEN(A243)&lt;1,"",Sheet1!M240)</f>
        <v/>
      </c>
      <c r="F243" s="3" t="str">
        <f>IF(ISBLANK(A243),"",Sheet1!N240)</f>
        <v/>
      </c>
      <c r="G243" s="3" t="str">
        <f>IF(ISBLANK(A243),"",Sheet1!O240)</f>
        <v/>
      </c>
      <c r="H243" s="3" t="str">
        <f t="shared" si="12"/>
        <v/>
      </c>
      <c r="I243" s="3" t="str">
        <f t="shared" si="13"/>
        <v/>
      </c>
      <c r="J243" s="3" t="str">
        <f t="shared" si="14"/>
        <v/>
      </c>
      <c r="K243" s="3" t="str">
        <f t="shared" si="15"/>
        <v/>
      </c>
    </row>
    <row r="244" spans="1:11">
      <c r="A244" s="3" t="str">
        <f>IF(LEN(Sheet1!C241)&lt;1,"",IF(LEN(Sheet1!C241)&gt;1,"Q","A"))</f>
        <v/>
      </c>
      <c r="B244" s="3" t="str">
        <f>IF(LEN(A244)&lt;1,"",Sheet1!P241)</f>
        <v/>
      </c>
      <c r="C244" s="3" t="str">
        <f>IF(LEN(A244)&lt;1,"",Sheet1!X241)</f>
        <v/>
      </c>
      <c r="E244" s="3" t="str">
        <f>IF(LEN(A244)&lt;1,"",Sheet1!M241)</f>
        <v/>
      </c>
      <c r="F244" s="3" t="str">
        <f>IF(ISBLANK(A244),"",Sheet1!N241)</f>
        <v/>
      </c>
      <c r="G244" s="3" t="str">
        <f>IF(ISBLANK(A244),"",Sheet1!O241)</f>
        <v/>
      </c>
      <c r="H244" s="3" t="str">
        <f t="shared" si="12"/>
        <v/>
      </c>
      <c r="I244" s="3" t="str">
        <f t="shared" si="13"/>
        <v/>
      </c>
      <c r="J244" s="3" t="str">
        <f t="shared" si="14"/>
        <v/>
      </c>
      <c r="K244" s="3" t="str">
        <f t="shared" si="15"/>
        <v/>
      </c>
    </row>
    <row r="245" spans="1:11">
      <c r="A245" s="3" t="str">
        <f>IF(LEN(Sheet1!C242)&lt;1,"",IF(LEN(Sheet1!C242)&gt;1,"Q","A"))</f>
        <v/>
      </c>
      <c r="B245" s="3" t="str">
        <f>IF(LEN(A245)&lt;1,"",Sheet1!P242)</f>
        <v/>
      </c>
      <c r="C245" s="3" t="str">
        <f>IF(LEN(A245)&lt;1,"",Sheet1!X242)</f>
        <v/>
      </c>
      <c r="E245" s="3" t="str">
        <f>IF(LEN(A245)&lt;1,"",Sheet1!M242)</f>
        <v/>
      </c>
      <c r="F245" s="3" t="str">
        <f>IF(ISBLANK(A245),"",Sheet1!N242)</f>
        <v/>
      </c>
      <c r="G245" s="3" t="str">
        <f>IF(ISBLANK(A245),"",Sheet1!O242)</f>
        <v/>
      </c>
      <c r="H245" s="3" t="str">
        <f t="shared" si="12"/>
        <v/>
      </c>
      <c r="I245" s="3" t="str">
        <f t="shared" si="13"/>
        <v/>
      </c>
      <c r="J245" s="3" t="str">
        <f t="shared" si="14"/>
        <v/>
      </c>
      <c r="K245" s="3" t="str">
        <f t="shared" si="15"/>
        <v/>
      </c>
    </row>
    <row r="246" spans="1:11">
      <c r="A246" s="3" t="str">
        <f>IF(LEN(Sheet1!C243)&lt;1,"",IF(LEN(Sheet1!C243)&gt;1,"Q","A"))</f>
        <v/>
      </c>
      <c r="B246" s="3" t="str">
        <f>IF(LEN(A246)&lt;1,"",Sheet1!P243)</f>
        <v/>
      </c>
      <c r="C246" s="3" t="str">
        <f>IF(LEN(A246)&lt;1,"",Sheet1!X243)</f>
        <v/>
      </c>
      <c r="E246" s="3" t="str">
        <f>IF(LEN(A246)&lt;1,"",Sheet1!M243)</f>
        <v/>
      </c>
      <c r="F246" s="3" t="str">
        <f>IF(ISBLANK(A246),"",Sheet1!N243)</f>
        <v/>
      </c>
      <c r="G246" s="3" t="str">
        <f>IF(ISBLANK(A246),"",Sheet1!O243)</f>
        <v/>
      </c>
      <c r="H246" s="3" t="str">
        <f t="shared" si="12"/>
        <v/>
      </c>
      <c r="I246" s="3" t="str">
        <f t="shared" si="13"/>
        <v/>
      </c>
      <c r="J246" s="3" t="str">
        <f t="shared" si="14"/>
        <v/>
      </c>
      <c r="K246" s="3" t="str">
        <f t="shared" si="15"/>
        <v/>
      </c>
    </row>
    <row r="247" spans="1:11">
      <c r="A247" s="3" t="str">
        <f>IF(LEN(Sheet1!C244)&lt;1,"",IF(LEN(Sheet1!C244)&gt;1,"Q","A"))</f>
        <v/>
      </c>
      <c r="B247" s="3" t="str">
        <f>IF(LEN(A247)&lt;1,"",Sheet1!P244)</f>
        <v/>
      </c>
      <c r="C247" s="3" t="str">
        <f>IF(LEN(A247)&lt;1,"",Sheet1!X244)</f>
        <v/>
      </c>
      <c r="E247" s="3" t="str">
        <f>IF(LEN(A247)&lt;1,"",Sheet1!M244)</f>
        <v/>
      </c>
      <c r="F247" s="3" t="str">
        <f>IF(ISBLANK(A247),"",Sheet1!N244)</f>
        <v/>
      </c>
      <c r="G247" s="3" t="str">
        <f>IF(ISBLANK(A247),"",Sheet1!O244)</f>
        <v/>
      </c>
      <c r="H247" s="3" t="str">
        <f t="shared" si="12"/>
        <v/>
      </c>
      <c r="I247" s="3" t="str">
        <f t="shared" si="13"/>
        <v/>
      </c>
      <c r="J247" s="3" t="str">
        <f t="shared" si="14"/>
        <v/>
      </c>
      <c r="K247" s="3" t="str">
        <f t="shared" si="15"/>
        <v/>
      </c>
    </row>
    <row r="248" spans="1:11">
      <c r="A248" s="3" t="str">
        <f>IF(LEN(Sheet1!C245)&lt;1,"",IF(LEN(Sheet1!C245)&gt;1,"Q","A"))</f>
        <v/>
      </c>
      <c r="B248" s="3" t="str">
        <f>IF(LEN(A248)&lt;1,"",Sheet1!P245)</f>
        <v/>
      </c>
      <c r="C248" s="3" t="str">
        <f>IF(LEN(A248)&lt;1,"",Sheet1!X245)</f>
        <v/>
      </c>
      <c r="E248" s="3" t="str">
        <f>IF(LEN(A248)&lt;1,"",Sheet1!M245)</f>
        <v/>
      </c>
      <c r="F248" s="3" t="str">
        <f>IF(ISBLANK(A248),"",Sheet1!N245)</f>
        <v/>
      </c>
      <c r="G248" s="3" t="str">
        <f>IF(ISBLANK(A248),"",Sheet1!O245)</f>
        <v/>
      </c>
      <c r="H248" s="3" t="str">
        <f t="shared" si="12"/>
        <v/>
      </c>
      <c r="I248" s="3" t="str">
        <f t="shared" si="13"/>
        <v/>
      </c>
      <c r="J248" s="3" t="str">
        <f t="shared" si="14"/>
        <v/>
      </c>
      <c r="K248" s="3" t="str">
        <f t="shared" si="15"/>
        <v/>
      </c>
    </row>
    <row r="249" spans="1:11">
      <c r="A249" s="3" t="str">
        <f>IF(LEN(Sheet1!C246)&lt;1,"",IF(LEN(Sheet1!C246)&gt;1,"Q","A"))</f>
        <v/>
      </c>
      <c r="B249" s="3" t="str">
        <f>IF(LEN(A249)&lt;1,"",Sheet1!P246)</f>
        <v/>
      </c>
      <c r="C249" s="3" t="str">
        <f>IF(LEN(A249)&lt;1,"",Sheet1!X246)</f>
        <v/>
      </c>
      <c r="E249" s="3" t="str">
        <f>IF(LEN(A249)&lt;1,"",Sheet1!M246)</f>
        <v/>
      </c>
      <c r="F249" s="3" t="str">
        <f>IF(ISBLANK(A249),"",Sheet1!N246)</f>
        <v/>
      </c>
      <c r="G249" s="3" t="str">
        <f>IF(ISBLANK(A249),"",Sheet1!O246)</f>
        <v/>
      </c>
      <c r="H249" s="3" t="str">
        <f t="shared" si="12"/>
        <v/>
      </c>
      <c r="I249" s="3" t="str">
        <f t="shared" si="13"/>
        <v/>
      </c>
      <c r="J249" s="3" t="str">
        <f t="shared" si="14"/>
        <v/>
      </c>
      <c r="K249" s="3" t="str">
        <f t="shared" si="15"/>
        <v/>
      </c>
    </row>
    <row r="250" spans="1:11">
      <c r="A250" s="3" t="str">
        <f>IF(LEN(Sheet1!C247)&lt;1,"",IF(LEN(Sheet1!C247)&gt;1,"Q","A"))</f>
        <v/>
      </c>
      <c r="B250" s="3" t="str">
        <f>IF(LEN(A250)&lt;1,"",Sheet1!P247)</f>
        <v/>
      </c>
      <c r="C250" s="3" t="str">
        <f>IF(LEN(A250)&lt;1,"",Sheet1!X247)</f>
        <v/>
      </c>
      <c r="E250" s="3" t="str">
        <f>IF(LEN(A250)&lt;1,"",Sheet1!M247)</f>
        <v/>
      </c>
      <c r="F250" s="3" t="str">
        <f>IF(ISBLANK(A250),"",Sheet1!N247)</f>
        <v/>
      </c>
      <c r="G250" s="3" t="str">
        <f>IF(ISBLANK(A250),"",Sheet1!O247)</f>
        <v/>
      </c>
      <c r="H250" s="3" t="str">
        <f t="shared" si="12"/>
        <v/>
      </c>
      <c r="I250" s="3" t="str">
        <f t="shared" si="13"/>
        <v/>
      </c>
      <c r="J250" s="3" t="str">
        <f t="shared" si="14"/>
        <v/>
      </c>
      <c r="K250" s="3" t="str">
        <f t="shared" si="15"/>
        <v/>
      </c>
    </row>
    <row r="251" spans="1:11">
      <c r="A251" s="3" t="str">
        <f>IF(LEN(Sheet1!C248)&lt;1,"",IF(LEN(Sheet1!C248)&gt;1,"Q","A"))</f>
        <v/>
      </c>
      <c r="B251" s="3" t="str">
        <f>IF(LEN(A251)&lt;1,"",Sheet1!P248)</f>
        <v/>
      </c>
      <c r="C251" s="3" t="str">
        <f>IF(LEN(A251)&lt;1,"",Sheet1!X248)</f>
        <v/>
      </c>
      <c r="E251" s="3" t="str">
        <f>IF(LEN(A251)&lt;1,"",Sheet1!M248)</f>
        <v/>
      </c>
      <c r="F251" s="3" t="str">
        <f>IF(ISBLANK(A251),"",Sheet1!N248)</f>
        <v/>
      </c>
      <c r="G251" s="3" t="str">
        <f>IF(ISBLANK(A251),"",Sheet1!O248)</f>
        <v/>
      </c>
      <c r="H251" s="3" t="str">
        <f t="shared" si="12"/>
        <v/>
      </c>
      <c r="I251" s="3" t="str">
        <f t="shared" si="13"/>
        <v/>
      </c>
      <c r="J251" s="3" t="str">
        <f t="shared" si="14"/>
        <v/>
      </c>
      <c r="K251" s="3" t="str">
        <f t="shared" si="15"/>
        <v/>
      </c>
    </row>
    <row r="252" spans="1:11">
      <c r="A252" s="3" t="str">
        <f>IF(LEN(Sheet1!C249)&lt;1,"",IF(LEN(Sheet1!C249)&gt;1,"Q","A"))</f>
        <v/>
      </c>
      <c r="B252" s="3" t="str">
        <f>IF(LEN(A252)&lt;1,"",Sheet1!P249)</f>
        <v/>
      </c>
      <c r="C252" s="3" t="str">
        <f>IF(LEN(A252)&lt;1,"",Sheet1!X249)</f>
        <v/>
      </c>
      <c r="E252" s="3" t="str">
        <f>IF(LEN(A252)&lt;1,"",Sheet1!M249)</f>
        <v/>
      </c>
      <c r="F252" s="3" t="str">
        <f>IF(ISBLANK(A252),"",Sheet1!N249)</f>
        <v/>
      </c>
      <c r="G252" s="3" t="str">
        <f>IF(ISBLANK(A252),"",Sheet1!O249)</f>
        <v/>
      </c>
      <c r="H252" s="3" t="str">
        <f t="shared" si="12"/>
        <v/>
      </c>
      <c r="I252" s="3" t="str">
        <f t="shared" si="13"/>
        <v/>
      </c>
      <c r="J252" s="3" t="str">
        <f t="shared" si="14"/>
        <v/>
      </c>
      <c r="K252" s="3" t="str">
        <f t="shared" si="15"/>
        <v/>
      </c>
    </row>
    <row r="253" spans="1:11">
      <c r="A253" s="3" t="str">
        <f>IF(LEN(Sheet1!C250)&lt;1,"",IF(LEN(Sheet1!C250)&gt;1,"Q","A"))</f>
        <v/>
      </c>
      <c r="B253" s="3" t="str">
        <f>IF(LEN(A253)&lt;1,"",Sheet1!P250)</f>
        <v/>
      </c>
      <c r="C253" s="3" t="str">
        <f>IF(LEN(A253)&lt;1,"",Sheet1!X250)</f>
        <v/>
      </c>
      <c r="E253" s="3" t="str">
        <f>IF(LEN(A253)&lt;1,"",Sheet1!M250)</f>
        <v/>
      </c>
      <c r="F253" s="3" t="str">
        <f>IF(ISBLANK(A253),"",Sheet1!N250)</f>
        <v/>
      </c>
      <c r="G253" s="3" t="str">
        <f>IF(ISBLANK(A253),"",Sheet1!O250)</f>
        <v/>
      </c>
      <c r="H253" s="3" t="str">
        <f t="shared" si="12"/>
        <v/>
      </c>
      <c r="I253" s="3" t="str">
        <f t="shared" si="13"/>
        <v/>
      </c>
      <c r="J253" s="3" t="str">
        <f t="shared" si="14"/>
        <v/>
      </c>
      <c r="K253" s="3" t="str">
        <f t="shared" si="15"/>
        <v/>
      </c>
    </row>
    <row r="254" spans="1:11">
      <c r="A254" s="3" t="str">
        <f>IF(LEN(Sheet1!C251)&lt;1,"",IF(LEN(Sheet1!C251)&gt;1,"Q","A"))</f>
        <v/>
      </c>
      <c r="B254" s="3" t="str">
        <f>IF(LEN(A254)&lt;1,"",Sheet1!P251)</f>
        <v/>
      </c>
      <c r="C254" s="3" t="str">
        <f>IF(LEN(A254)&lt;1,"",Sheet1!X251)</f>
        <v/>
      </c>
      <c r="E254" s="3" t="str">
        <f>IF(LEN(A254)&lt;1,"",Sheet1!M251)</f>
        <v/>
      </c>
      <c r="F254" s="3" t="str">
        <f>IF(ISBLANK(A254),"",Sheet1!N251)</f>
        <v/>
      </c>
      <c r="G254" s="3" t="str">
        <f>IF(ISBLANK(A254),"",Sheet1!O251)</f>
        <v/>
      </c>
      <c r="H254" s="3" t="str">
        <f t="shared" si="12"/>
        <v/>
      </c>
      <c r="I254" s="3" t="str">
        <f t="shared" si="13"/>
        <v/>
      </c>
      <c r="J254" s="3" t="str">
        <f t="shared" si="14"/>
        <v/>
      </c>
      <c r="K254" s="3" t="str">
        <f t="shared" si="15"/>
        <v/>
      </c>
    </row>
    <row r="255" spans="1:11">
      <c r="A255" s="3" t="str">
        <f>IF(LEN(Sheet1!C252)&lt;1,"",IF(LEN(Sheet1!C252)&gt;1,"Q","A"))</f>
        <v/>
      </c>
      <c r="B255" s="3" t="str">
        <f>IF(LEN(A255)&lt;1,"",Sheet1!P252)</f>
        <v/>
      </c>
      <c r="C255" s="3" t="str">
        <f>IF(LEN(A255)&lt;1,"",Sheet1!X252)</f>
        <v/>
      </c>
      <c r="E255" s="3" t="str">
        <f>IF(LEN(A255)&lt;1,"",Sheet1!M252)</f>
        <v/>
      </c>
      <c r="F255" s="3" t="str">
        <f>IF(ISBLANK(A255),"",Sheet1!N252)</f>
        <v/>
      </c>
      <c r="G255" s="3" t="str">
        <f>IF(ISBLANK(A255),"",Sheet1!O252)</f>
        <v/>
      </c>
      <c r="H255" s="3" t="str">
        <f t="shared" si="12"/>
        <v/>
      </c>
      <c r="I255" s="3" t="str">
        <f t="shared" si="13"/>
        <v/>
      </c>
      <c r="J255" s="3" t="str">
        <f t="shared" si="14"/>
        <v/>
      </c>
      <c r="K255" s="3" t="str">
        <f t="shared" si="15"/>
        <v/>
      </c>
    </row>
    <row r="256" spans="1:11">
      <c r="A256" s="3" t="str">
        <f>IF(LEN(Sheet1!C253)&lt;1,"",IF(LEN(Sheet1!C253)&gt;1,"Q","A"))</f>
        <v/>
      </c>
      <c r="B256" s="3" t="str">
        <f>IF(LEN(A256)&lt;1,"",Sheet1!P253)</f>
        <v/>
      </c>
      <c r="C256" s="3" t="str">
        <f>IF(LEN(A256)&lt;1,"",Sheet1!X253)</f>
        <v/>
      </c>
      <c r="E256" s="3" t="str">
        <f>IF(LEN(A256)&lt;1,"",Sheet1!M253)</f>
        <v/>
      </c>
      <c r="F256" s="3" t="str">
        <f>IF(ISBLANK(A256),"",Sheet1!N253)</f>
        <v/>
      </c>
      <c r="G256" s="3" t="str">
        <f>IF(ISBLANK(A256),"",Sheet1!O253)</f>
        <v/>
      </c>
      <c r="H256" s="3" t="str">
        <f t="shared" si="12"/>
        <v/>
      </c>
      <c r="I256" s="3" t="str">
        <f t="shared" si="13"/>
        <v/>
      </c>
      <c r="J256" s="3" t="str">
        <f t="shared" si="14"/>
        <v/>
      </c>
      <c r="K256" s="3" t="str">
        <f t="shared" si="15"/>
        <v/>
      </c>
    </row>
    <row r="257" spans="1:11">
      <c r="A257" s="3" t="str">
        <f>IF(LEN(Sheet1!C254)&lt;1,"",IF(LEN(Sheet1!C254)&gt;1,"Q","A"))</f>
        <v/>
      </c>
      <c r="B257" s="3" t="str">
        <f>IF(LEN(A257)&lt;1,"",Sheet1!P254)</f>
        <v/>
      </c>
      <c r="C257" s="3" t="str">
        <f>IF(LEN(A257)&lt;1,"",Sheet1!X254)</f>
        <v/>
      </c>
      <c r="E257" s="3" t="str">
        <f>IF(LEN(A257)&lt;1,"",Sheet1!M254)</f>
        <v/>
      </c>
      <c r="F257" s="3" t="str">
        <f>IF(ISBLANK(A257),"",Sheet1!N254)</f>
        <v/>
      </c>
      <c r="G257" s="3" t="str">
        <f>IF(ISBLANK(A257),"",Sheet1!O254)</f>
        <v/>
      </c>
      <c r="H257" s="3" t="str">
        <f t="shared" si="12"/>
        <v/>
      </c>
      <c r="I257" s="3" t="str">
        <f t="shared" si="13"/>
        <v/>
      </c>
      <c r="J257" s="3" t="str">
        <f t="shared" si="14"/>
        <v/>
      </c>
      <c r="K257" s="3" t="str">
        <f t="shared" si="15"/>
        <v/>
      </c>
    </row>
    <row r="258" spans="1:11">
      <c r="A258" s="3" t="str">
        <f>IF(LEN(Sheet1!C255)&lt;1,"",IF(LEN(Sheet1!C255)&gt;1,"Q","A"))</f>
        <v/>
      </c>
      <c r="B258" s="3" t="str">
        <f>IF(LEN(A258)&lt;1,"",Sheet1!P255)</f>
        <v/>
      </c>
      <c r="C258" s="3" t="str">
        <f>IF(LEN(A258)&lt;1,"",Sheet1!X255)</f>
        <v/>
      </c>
      <c r="E258" s="3" t="str">
        <f>IF(LEN(A258)&lt;1,"",Sheet1!M255)</f>
        <v/>
      </c>
      <c r="F258" s="3" t="str">
        <f>IF(ISBLANK(A258),"",Sheet1!N255)</f>
        <v/>
      </c>
      <c r="G258" s="3" t="str">
        <f>IF(ISBLANK(A258),"",Sheet1!O255)</f>
        <v/>
      </c>
      <c r="H258" s="3" t="str">
        <f t="shared" si="12"/>
        <v/>
      </c>
      <c r="I258" s="3" t="str">
        <f t="shared" si="13"/>
        <v/>
      </c>
      <c r="J258" s="3" t="str">
        <f t="shared" si="14"/>
        <v/>
      </c>
      <c r="K258" s="3" t="str">
        <f t="shared" si="15"/>
        <v/>
      </c>
    </row>
    <row r="259" spans="1:11">
      <c r="A259" s="3" t="str">
        <f>IF(LEN(Sheet1!C256)&lt;1,"",IF(LEN(Sheet1!C256)&gt;1,"Q","A"))</f>
        <v/>
      </c>
      <c r="B259" s="3" t="str">
        <f>IF(LEN(A259)&lt;1,"",Sheet1!P256)</f>
        <v/>
      </c>
      <c r="C259" s="3" t="str">
        <f>IF(LEN(A259)&lt;1,"",Sheet1!X256)</f>
        <v/>
      </c>
      <c r="E259" s="3" t="str">
        <f>IF(LEN(A259)&lt;1,"",Sheet1!M256)</f>
        <v/>
      </c>
      <c r="F259" s="3" t="str">
        <f>IF(ISBLANK(A259),"",Sheet1!N256)</f>
        <v/>
      </c>
      <c r="G259" s="3" t="str">
        <f>IF(ISBLANK(A259),"",Sheet1!O256)</f>
        <v/>
      </c>
      <c r="H259" s="3" t="str">
        <f t="shared" si="12"/>
        <v/>
      </c>
      <c r="I259" s="3" t="str">
        <f t="shared" si="13"/>
        <v/>
      </c>
      <c r="J259" s="3" t="str">
        <f t="shared" si="14"/>
        <v/>
      </c>
      <c r="K259" s="3" t="str">
        <f t="shared" si="15"/>
        <v/>
      </c>
    </row>
    <row r="260" spans="1:11">
      <c r="A260" s="3" t="str">
        <f>IF(LEN(Sheet1!C257)&lt;1,"",IF(LEN(Sheet1!C257)&gt;1,"Q","A"))</f>
        <v/>
      </c>
      <c r="B260" s="3" t="str">
        <f>IF(LEN(A260)&lt;1,"",Sheet1!P257)</f>
        <v/>
      </c>
      <c r="C260" s="3" t="str">
        <f>IF(LEN(A260)&lt;1,"",Sheet1!X257)</f>
        <v/>
      </c>
      <c r="E260" s="3" t="str">
        <f>IF(LEN(A260)&lt;1,"",Sheet1!M257)</f>
        <v/>
      </c>
      <c r="F260" s="3" t="str">
        <f>IF(ISBLANK(A260),"",Sheet1!N257)</f>
        <v/>
      </c>
      <c r="G260" s="3" t="str">
        <f>IF(ISBLANK(A260),"",Sheet1!O257)</f>
        <v/>
      </c>
      <c r="H260" s="3" t="str">
        <f t="shared" si="12"/>
        <v/>
      </c>
      <c r="I260" s="3" t="str">
        <f t="shared" si="13"/>
        <v/>
      </c>
      <c r="J260" s="3" t="str">
        <f t="shared" si="14"/>
        <v/>
      </c>
      <c r="K260" s="3" t="str">
        <f t="shared" si="15"/>
        <v/>
      </c>
    </row>
    <row r="261" spans="1:11">
      <c r="A261" s="3" t="str">
        <f>IF(LEN(Sheet1!C258)&lt;1,"",IF(LEN(Sheet1!C258)&gt;1,"Q","A"))</f>
        <v/>
      </c>
      <c r="B261" s="3" t="str">
        <f>IF(LEN(A261)&lt;1,"",Sheet1!P258)</f>
        <v/>
      </c>
      <c r="C261" s="3" t="str">
        <f>IF(LEN(A261)&lt;1,"",Sheet1!X258)</f>
        <v/>
      </c>
      <c r="E261" s="3" t="str">
        <f>IF(LEN(A261)&lt;1,"",Sheet1!M258)</f>
        <v/>
      </c>
      <c r="F261" s="3" t="str">
        <f>IF(ISBLANK(A261),"",Sheet1!N258)</f>
        <v/>
      </c>
      <c r="G261" s="3" t="str">
        <f>IF(ISBLANK(A261),"",Sheet1!O258)</f>
        <v/>
      </c>
      <c r="H261" s="3" t="str">
        <f t="shared" si="12"/>
        <v/>
      </c>
      <c r="I261" s="3" t="str">
        <f t="shared" si="13"/>
        <v/>
      </c>
      <c r="J261" s="3" t="str">
        <f t="shared" si="14"/>
        <v/>
      </c>
      <c r="K261" s="3" t="str">
        <f t="shared" si="15"/>
        <v/>
      </c>
    </row>
    <row r="262" spans="1:11">
      <c r="A262" s="3" t="str">
        <f>IF(LEN(Sheet1!C259)&lt;1,"",IF(LEN(Sheet1!C259)&gt;1,"Q","A"))</f>
        <v/>
      </c>
      <c r="B262" s="3" t="str">
        <f>IF(LEN(A262)&lt;1,"",Sheet1!P259)</f>
        <v/>
      </c>
      <c r="C262" s="3" t="str">
        <f>IF(LEN(A262)&lt;1,"",Sheet1!X259)</f>
        <v/>
      </c>
      <c r="E262" s="3" t="str">
        <f>IF(LEN(A262)&lt;1,"",Sheet1!M259)</f>
        <v/>
      </c>
      <c r="F262" s="3" t="str">
        <f>IF(ISBLANK(A262),"",Sheet1!N259)</f>
        <v/>
      </c>
      <c r="G262" s="3" t="str">
        <f>IF(ISBLANK(A262),"",Sheet1!O259)</f>
        <v/>
      </c>
      <c r="H262" s="3" t="str">
        <f t="shared" si="12"/>
        <v/>
      </c>
      <c r="I262" s="3" t="str">
        <f t="shared" si="13"/>
        <v/>
      </c>
      <c r="J262" s="3" t="str">
        <f t="shared" si="14"/>
        <v/>
      </c>
      <c r="K262" s="3" t="str">
        <f t="shared" si="15"/>
        <v/>
      </c>
    </row>
    <row r="263" spans="1:11">
      <c r="A263" s="3" t="str">
        <f>IF(LEN(Sheet1!C260)&lt;1,"",IF(LEN(Sheet1!C260)&gt;1,"Q","A"))</f>
        <v/>
      </c>
      <c r="B263" s="3" t="str">
        <f>IF(LEN(A263)&lt;1,"",Sheet1!P260)</f>
        <v/>
      </c>
      <c r="C263" s="3" t="str">
        <f>IF(LEN(A263)&lt;1,"",Sheet1!X260)</f>
        <v/>
      </c>
      <c r="E263" s="3" t="str">
        <f>IF(LEN(A263)&lt;1,"",Sheet1!M260)</f>
        <v/>
      </c>
      <c r="F263" s="3" t="str">
        <f>IF(ISBLANK(A263),"",Sheet1!N260)</f>
        <v/>
      </c>
      <c r="G263" s="3" t="str">
        <f>IF(ISBLANK(A263),"",Sheet1!O260)</f>
        <v/>
      </c>
      <c r="H263" s="3" t="str">
        <f t="shared" si="12"/>
        <v/>
      </c>
      <c r="I263" s="3" t="str">
        <f t="shared" si="13"/>
        <v/>
      </c>
      <c r="J263" s="3" t="str">
        <f t="shared" si="14"/>
        <v/>
      </c>
      <c r="K263" s="3" t="str">
        <f t="shared" si="15"/>
        <v/>
      </c>
    </row>
    <row r="264" spans="1:11">
      <c r="A264" s="3" t="str">
        <f>IF(LEN(Sheet1!C261)&lt;1,"",IF(LEN(Sheet1!C261)&gt;1,"Q","A"))</f>
        <v/>
      </c>
      <c r="B264" s="3" t="str">
        <f>IF(LEN(A264)&lt;1,"",Sheet1!P261)</f>
        <v/>
      </c>
      <c r="C264" s="3" t="str">
        <f>IF(LEN(A264)&lt;1,"",Sheet1!X261)</f>
        <v/>
      </c>
      <c r="E264" s="3" t="str">
        <f>IF(LEN(A264)&lt;1,"",Sheet1!M261)</f>
        <v/>
      </c>
      <c r="F264" s="3" t="str">
        <f>IF(ISBLANK(A264),"",Sheet1!N261)</f>
        <v/>
      </c>
      <c r="G264" s="3" t="str">
        <f>IF(ISBLANK(A264),"",Sheet1!O261)</f>
        <v/>
      </c>
      <c r="H264" s="3" t="str">
        <f t="shared" si="12"/>
        <v/>
      </c>
      <c r="I264" s="3" t="str">
        <f t="shared" si="13"/>
        <v/>
      </c>
      <c r="J264" s="3" t="str">
        <f t="shared" si="14"/>
        <v/>
      </c>
      <c r="K264" s="3" t="str">
        <f t="shared" si="15"/>
        <v/>
      </c>
    </row>
    <row r="265" spans="1:11">
      <c r="A265" s="3" t="str">
        <f>IF(LEN(Sheet1!C262)&lt;1,"",IF(LEN(Sheet1!C262)&gt;1,"Q","A"))</f>
        <v/>
      </c>
      <c r="B265" s="3" t="str">
        <f>IF(LEN(A265)&lt;1,"",Sheet1!P262)</f>
        <v/>
      </c>
      <c r="C265" s="3" t="str">
        <f>IF(LEN(A265)&lt;1,"",Sheet1!X262)</f>
        <v/>
      </c>
      <c r="E265" s="3" t="str">
        <f>IF(LEN(A265)&lt;1,"",Sheet1!M262)</f>
        <v/>
      </c>
      <c r="F265" s="3" t="str">
        <f>IF(ISBLANK(A265),"",Sheet1!N262)</f>
        <v/>
      </c>
      <c r="G265" s="3" t="str">
        <f>IF(ISBLANK(A265),"",Sheet1!O262)</f>
        <v/>
      </c>
      <c r="H265" s="3" t="str">
        <f t="shared" ref="H265:H307" si="16">IF(ISBLANK(A265),"",IF(A265="Q",0,""))</f>
        <v/>
      </c>
      <c r="I265" s="3" t="str">
        <f t="shared" ref="I265:I307" si="17">IF(ISBLANK(A265),"",IF(A265="Q",0,""))</f>
        <v/>
      </c>
      <c r="J265" s="3" t="str">
        <f t="shared" ref="J265:J307" si="18">IF(ISBLANK(A265),"",IF(A265="Q",0,""))</f>
        <v/>
      </c>
      <c r="K265" s="3" t="str">
        <f t="shared" ref="K265:K307" si="19">IF(ISBLANK(A265),"",IF(A265="Q",0,""))</f>
        <v/>
      </c>
    </row>
    <row r="266" spans="1:11">
      <c r="A266" s="3" t="str">
        <f>IF(LEN(Sheet1!C263)&lt;1,"",IF(LEN(Sheet1!C263)&gt;1,"Q","A"))</f>
        <v/>
      </c>
      <c r="B266" s="3" t="str">
        <f>IF(LEN(A266)&lt;1,"",Sheet1!P263)</f>
        <v/>
      </c>
      <c r="C266" s="3" t="str">
        <f>IF(LEN(A266)&lt;1,"",Sheet1!X263)</f>
        <v/>
      </c>
      <c r="E266" s="3" t="str">
        <f>IF(LEN(A266)&lt;1,"",Sheet1!M263)</f>
        <v/>
      </c>
      <c r="F266" s="3" t="str">
        <f>IF(ISBLANK(A266),"",Sheet1!N263)</f>
        <v/>
      </c>
      <c r="G266" s="3" t="str">
        <f>IF(ISBLANK(A266),"",Sheet1!O263)</f>
        <v/>
      </c>
      <c r="H266" s="3" t="str">
        <f t="shared" si="16"/>
        <v/>
      </c>
      <c r="I266" s="3" t="str">
        <f t="shared" si="17"/>
        <v/>
      </c>
      <c r="J266" s="3" t="str">
        <f t="shared" si="18"/>
        <v/>
      </c>
      <c r="K266" s="3" t="str">
        <f t="shared" si="19"/>
        <v/>
      </c>
    </row>
    <row r="267" spans="1:11">
      <c r="A267" s="3" t="str">
        <f>IF(LEN(Sheet1!C264)&lt;1,"",IF(LEN(Sheet1!C264)&gt;1,"Q","A"))</f>
        <v/>
      </c>
      <c r="B267" s="3" t="str">
        <f>IF(LEN(A267)&lt;1,"",Sheet1!P264)</f>
        <v/>
      </c>
      <c r="C267" s="3" t="str">
        <f>IF(LEN(A267)&lt;1,"",Sheet1!X264)</f>
        <v/>
      </c>
      <c r="E267" s="3" t="str">
        <f>IF(LEN(A267)&lt;1,"",Sheet1!M264)</f>
        <v/>
      </c>
      <c r="F267" s="3" t="str">
        <f>IF(ISBLANK(A267),"",Sheet1!N264)</f>
        <v/>
      </c>
      <c r="G267" s="3" t="str">
        <f>IF(ISBLANK(A267),"",Sheet1!O264)</f>
        <v/>
      </c>
      <c r="H267" s="3" t="str">
        <f t="shared" si="16"/>
        <v/>
      </c>
      <c r="I267" s="3" t="str">
        <f t="shared" si="17"/>
        <v/>
      </c>
      <c r="J267" s="3" t="str">
        <f t="shared" si="18"/>
        <v/>
      </c>
      <c r="K267" s="3" t="str">
        <f t="shared" si="19"/>
        <v/>
      </c>
    </row>
    <row r="268" spans="1:11">
      <c r="A268" s="3" t="str">
        <f>IF(LEN(Sheet1!C265)&lt;1,"",IF(LEN(Sheet1!C265)&gt;1,"Q","A"))</f>
        <v/>
      </c>
      <c r="B268" s="3" t="str">
        <f>IF(LEN(A268)&lt;1,"",Sheet1!P265)</f>
        <v/>
      </c>
      <c r="C268" s="3" t="str">
        <f>IF(LEN(A268)&lt;1,"",Sheet1!X265)</f>
        <v/>
      </c>
      <c r="E268" s="3" t="str">
        <f>IF(LEN(A268)&lt;1,"",Sheet1!M265)</f>
        <v/>
      </c>
      <c r="F268" s="3" t="str">
        <f>IF(ISBLANK(A268),"",Sheet1!N265)</f>
        <v/>
      </c>
      <c r="G268" s="3" t="str">
        <f>IF(ISBLANK(A268),"",Sheet1!O265)</f>
        <v/>
      </c>
      <c r="H268" s="3" t="str">
        <f t="shared" si="16"/>
        <v/>
      </c>
      <c r="I268" s="3" t="str">
        <f t="shared" si="17"/>
        <v/>
      </c>
      <c r="J268" s="3" t="str">
        <f t="shared" si="18"/>
        <v/>
      </c>
      <c r="K268" s="3" t="str">
        <f t="shared" si="19"/>
        <v/>
      </c>
    </row>
    <row r="269" spans="1:11">
      <c r="A269" s="3" t="str">
        <f>IF(LEN(Sheet1!C266)&lt;1,"",IF(LEN(Sheet1!C266)&gt;1,"Q","A"))</f>
        <v/>
      </c>
      <c r="B269" s="3" t="str">
        <f>IF(LEN(A269)&lt;1,"",Sheet1!P266)</f>
        <v/>
      </c>
      <c r="C269" s="3" t="str">
        <f>IF(LEN(A269)&lt;1,"",Sheet1!X266)</f>
        <v/>
      </c>
      <c r="E269" s="3" t="str">
        <f>IF(LEN(A269)&lt;1,"",Sheet1!M266)</f>
        <v/>
      </c>
      <c r="F269" s="3" t="str">
        <f>IF(ISBLANK(A269),"",Sheet1!N266)</f>
        <v/>
      </c>
      <c r="G269" s="3" t="str">
        <f>IF(ISBLANK(A269),"",Sheet1!O266)</f>
        <v/>
      </c>
      <c r="H269" s="3" t="str">
        <f t="shared" si="16"/>
        <v/>
      </c>
      <c r="I269" s="3" t="str">
        <f t="shared" si="17"/>
        <v/>
      </c>
      <c r="J269" s="3" t="str">
        <f t="shared" si="18"/>
        <v/>
      </c>
      <c r="K269" s="3" t="str">
        <f t="shared" si="19"/>
        <v/>
      </c>
    </row>
    <row r="270" spans="1:11">
      <c r="A270" s="3" t="str">
        <f>IF(LEN(Sheet1!C267)&lt;1,"",IF(LEN(Sheet1!C267)&gt;1,"Q","A"))</f>
        <v/>
      </c>
      <c r="B270" s="3" t="str">
        <f>IF(LEN(A270)&lt;1,"",Sheet1!P267)</f>
        <v/>
      </c>
      <c r="C270" s="3" t="str">
        <f>IF(LEN(A270)&lt;1,"",Sheet1!X267)</f>
        <v/>
      </c>
      <c r="E270" s="3" t="str">
        <f>IF(LEN(A270)&lt;1,"",Sheet1!M267)</f>
        <v/>
      </c>
      <c r="F270" s="3" t="str">
        <f>IF(ISBLANK(A270),"",Sheet1!N267)</f>
        <v/>
      </c>
      <c r="G270" s="3" t="str">
        <f>IF(ISBLANK(A270),"",Sheet1!O267)</f>
        <v/>
      </c>
      <c r="H270" s="3" t="str">
        <f t="shared" si="16"/>
        <v/>
      </c>
      <c r="I270" s="3" t="str">
        <f t="shared" si="17"/>
        <v/>
      </c>
      <c r="J270" s="3" t="str">
        <f t="shared" si="18"/>
        <v/>
      </c>
      <c r="K270" s="3" t="str">
        <f t="shared" si="19"/>
        <v/>
      </c>
    </row>
    <row r="271" spans="1:11">
      <c r="A271" s="3" t="str">
        <f>IF(LEN(Sheet1!C268)&lt;1,"",IF(LEN(Sheet1!C268)&gt;1,"Q","A"))</f>
        <v/>
      </c>
      <c r="B271" s="3" t="str">
        <f>IF(LEN(A271)&lt;1,"",Sheet1!P268)</f>
        <v/>
      </c>
      <c r="C271" s="3" t="str">
        <f>IF(LEN(A271)&lt;1,"",Sheet1!X268)</f>
        <v/>
      </c>
      <c r="E271" s="3" t="str">
        <f>IF(LEN(A271)&lt;1,"",Sheet1!M268)</f>
        <v/>
      </c>
      <c r="F271" s="3" t="str">
        <f>IF(ISBLANK(A271),"",Sheet1!N268)</f>
        <v/>
      </c>
      <c r="G271" s="3" t="str">
        <f>IF(ISBLANK(A271),"",Sheet1!O268)</f>
        <v/>
      </c>
      <c r="H271" s="3" t="str">
        <f t="shared" si="16"/>
        <v/>
      </c>
      <c r="I271" s="3" t="str">
        <f t="shared" si="17"/>
        <v/>
      </c>
      <c r="J271" s="3" t="str">
        <f t="shared" si="18"/>
        <v/>
      </c>
      <c r="K271" s="3" t="str">
        <f t="shared" si="19"/>
        <v/>
      </c>
    </row>
    <row r="272" spans="1:11">
      <c r="A272" s="3" t="str">
        <f>IF(LEN(Sheet1!C269)&lt;1,"",IF(LEN(Sheet1!C269)&gt;1,"Q","A"))</f>
        <v/>
      </c>
      <c r="B272" s="3" t="str">
        <f>IF(LEN(A272)&lt;1,"",Sheet1!P269)</f>
        <v/>
      </c>
      <c r="C272" s="3" t="str">
        <f>IF(LEN(A272)&lt;1,"",Sheet1!X269)</f>
        <v/>
      </c>
      <c r="E272" s="3" t="str">
        <f>IF(LEN(A272)&lt;1,"",Sheet1!M269)</f>
        <v/>
      </c>
      <c r="F272" s="3" t="str">
        <f>IF(ISBLANK(A272),"",Sheet1!N269)</f>
        <v/>
      </c>
      <c r="G272" s="3" t="str">
        <f>IF(ISBLANK(A272),"",Sheet1!O269)</f>
        <v/>
      </c>
      <c r="H272" s="3" t="str">
        <f t="shared" si="16"/>
        <v/>
      </c>
      <c r="I272" s="3" t="str">
        <f t="shared" si="17"/>
        <v/>
      </c>
      <c r="J272" s="3" t="str">
        <f t="shared" si="18"/>
        <v/>
      </c>
      <c r="K272" s="3" t="str">
        <f t="shared" si="19"/>
        <v/>
      </c>
    </row>
    <row r="273" spans="1:11">
      <c r="A273" s="3" t="str">
        <f>IF(LEN(Sheet1!C270)&lt;1,"",IF(LEN(Sheet1!C270)&gt;1,"Q","A"))</f>
        <v/>
      </c>
      <c r="B273" s="3" t="str">
        <f>IF(LEN(A273)&lt;1,"",Sheet1!P270)</f>
        <v/>
      </c>
      <c r="C273" s="3" t="str">
        <f>IF(LEN(A273)&lt;1,"",Sheet1!X270)</f>
        <v/>
      </c>
      <c r="E273" s="3" t="str">
        <f>IF(LEN(A273)&lt;1,"",Sheet1!M270)</f>
        <v/>
      </c>
      <c r="F273" s="3" t="str">
        <f>IF(ISBLANK(A273),"",Sheet1!N270)</f>
        <v/>
      </c>
      <c r="G273" s="3" t="str">
        <f>IF(ISBLANK(A273),"",Sheet1!O270)</f>
        <v/>
      </c>
      <c r="H273" s="3" t="str">
        <f t="shared" si="16"/>
        <v/>
      </c>
      <c r="I273" s="3" t="str">
        <f t="shared" si="17"/>
        <v/>
      </c>
      <c r="J273" s="3" t="str">
        <f t="shared" si="18"/>
        <v/>
      </c>
      <c r="K273" s="3" t="str">
        <f t="shared" si="19"/>
        <v/>
      </c>
    </row>
    <row r="274" spans="1:11">
      <c r="A274" s="3" t="str">
        <f>IF(LEN(Sheet1!C271)&lt;1,"",IF(LEN(Sheet1!C271)&gt;1,"Q","A"))</f>
        <v/>
      </c>
      <c r="B274" s="3" t="str">
        <f>IF(LEN(A274)&lt;1,"",Sheet1!P271)</f>
        <v/>
      </c>
      <c r="C274" s="3" t="str">
        <f>IF(LEN(A274)&lt;1,"",Sheet1!X271)</f>
        <v/>
      </c>
      <c r="E274" s="3" t="str">
        <f>IF(LEN(A274)&lt;1,"",Sheet1!M271)</f>
        <v/>
      </c>
      <c r="F274" s="3" t="str">
        <f>IF(ISBLANK(A274),"",Sheet1!N271)</f>
        <v/>
      </c>
      <c r="G274" s="3" t="str">
        <f>IF(ISBLANK(A274),"",Sheet1!O271)</f>
        <v/>
      </c>
      <c r="H274" s="3" t="str">
        <f t="shared" si="16"/>
        <v/>
      </c>
      <c r="I274" s="3" t="str">
        <f t="shared" si="17"/>
        <v/>
      </c>
      <c r="J274" s="3" t="str">
        <f t="shared" si="18"/>
        <v/>
      </c>
      <c r="K274" s="3" t="str">
        <f t="shared" si="19"/>
        <v/>
      </c>
    </row>
    <row r="275" spans="1:11">
      <c r="A275" s="3" t="str">
        <f>IF(LEN(Sheet1!C272)&lt;1,"",IF(LEN(Sheet1!C272)&gt;1,"Q","A"))</f>
        <v/>
      </c>
      <c r="B275" s="3" t="str">
        <f>IF(LEN(A275)&lt;1,"",Sheet1!P272)</f>
        <v/>
      </c>
      <c r="C275" s="3" t="str">
        <f>IF(LEN(A275)&lt;1,"",Sheet1!X272)</f>
        <v/>
      </c>
      <c r="E275" s="3" t="str">
        <f>IF(LEN(A275)&lt;1,"",Sheet1!M272)</f>
        <v/>
      </c>
      <c r="F275" s="3" t="str">
        <f>IF(ISBLANK(A275),"",Sheet1!N272)</f>
        <v/>
      </c>
      <c r="G275" s="3" t="str">
        <f>IF(ISBLANK(A275),"",Sheet1!O272)</f>
        <v/>
      </c>
      <c r="H275" s="3" t="str">
        <f t="shared" si="16"/>
        <v/>
      </c>
      <c r="I275" s="3" t="str">
        <f t="shared" si="17"/>
        <v/>
      </c>
      <c r="J275" s="3" t="str">
        <f t="shared" si="18"/>
        <v/>
      </c>
      <c r="K275" s="3" t="str">
        <f t="shared" si="19"/>
        <v/>
      </c>
    </row>
    <row r="276" spans="1:11">
      <c r="A276" s="3" t="str">
        <f>IF(LEN(Sheet1!C273)&lt;1,"",IF(LEN(Sheet1!C273)&gt;1,"Q","A"))</f>
        <v/>
      </c>
      <c r="B276" s="3" t="str">
        <f>IF(LEN(A276)&lt;1,"",Sheet1!P273)</f>
        <v/>
      </c>
      <c r="C276" s="3" t="str">
        <f>IF(LEN(A276)&lt;1,"",Sheet1!X273)</f>
        <v/>
      </c>
      <c r="E276" s="3" t="str">
        <f>IF(LEN(A276)&lt;1,"",Sheet1!M273)</f>
        <v/>
      </c>
      <c r="F276" s="3" t="str">
        <f>IF(ISBLANK(A276),"",Sheet1!N273)</f>
        <v/>
      </c>
      <c r="G276" s="3" t="str">
        <f>IF(ISBLANK(A276),"",Sheet1!O273)</f>
        <v/>
      </c>
      <c r="H276" s="3" t="str">
        <f t="shared" si="16"/>
        <v/>
      </c>
      <c r="I276" s="3" t="str">
        <f t="shared" si="17"/>
        <v/>
      </c>
      <c r="J276" s="3" t="str">
        <f t="shared" si="18"/>
        <v/>
      </c>
      <c r="K276" s="3" t="str">
        <f t="shared" si="19"/>
        <v/>
      </c>
    </row>
    <row r="277" spans="1:11">
      <c r="A277" s="3" t="str">
        <f>IF(LEN(Sheet1!C274)&lt;1,"",IF(LEN(Sheet1!C274)&gt;1,"Q","A"))</f>
        <v/>
      </c>
      <c r="B277" s="3" t="str">
        <f>IF(LEN(A277)&lt;1,"",Sheet1!P274)</f>
        <v/>
      </c>
      <c r="C277" s="3" t="str">
        <f>IF(LEN(A277)&lt;1,"",Sheet1!X274)</f>
        <v/>
      </c>
      <c r="E277" s="3" t="str">
        <f>IF(LEN(A277)&lt;1,"",Sheet1!M274)</f>
        <v/>
      </c>
      <c r="F277" s="3" t="str">
        <f>IF(ISBLANK(A277),"",Sheet1!N274)</f>
        <v/>
      </c>
      <c r="G277" s="3" t="str">
        <f>IF(ISBLANK(A277),"",Sheet1!O274)</f>
        <v/>
      </c>
      <c r="H277" s="3" t="str">
        <f t="shared" si="16"/>
        <v/>
      </c>
      <c r="I277" s="3" t="str">
        <f t="shared" si="17"/>
        <v/>
      </c>
      <c r="J277" s="3" t="str">
        <f t="shared" si="18"/>
        <v/>
      </c>
      <c r="K277" s="3" t="str">
        <f t="shared" si="19"/>
        <v/>
      </c>
    </row>
    <row r="278" spans="1:11">
      <c r="A278" s="3" t="str">
        <f>IF(LEN(Sheet1!C275)&lt;1,"",IF(LEN(Sheet1!C275)&gt;1,"Q","A"))</f>
        <v/>
      </c>
      <c r="B278" s="3" t="str">
        <f>IF(LEN(A278)&lt;1,"",Sheet1!P275)</f>
        <v/>
      </c>
      <c r="C278" s="3" t="str">
        <f>IF(LEN(A278)&lt;1,"",Sheet1!X275)</f>
        <v/>
      </c>
      <c r="E278" s="3" t="str">
        <f>IF(LEN(A278)&lt;1,"",Sheet1!M275)</f>
        <v/>
      </c>
      <c r="F278" s="3" t="str">
        <f>IF(ISBLANK(A278),"",Sheet1!N275)</f>
        <v/>
      </c>
      <c r="G278" s="3" t="str">
        <f>IF(ISBLANK(A278),"",Sheet1!O275)</f>
        <v/>
      </c>
      <c r="H278" s="3" t="str">
        <f t="shared" si="16"/>
        <v/>
      </c>
      <c r="I278" s="3" t="str">
        <f t="shared" si="17"/>
        <v/>
      </c>
      <c r="J278" s="3" t="str">
        <f t="shared" si="18"/>
        <v/>
      </c>
      <c r="K278" s="3" t="str">
        <f t="shared" si="19"/>
        <v/>
      </c>
    </row>
    <row r="279" spans="1:11">
      <c r="A279" s="3" t="str">
        <f>IF(LEN(Sheet1!C276)&lt;1,"",IF(LEN(Sheet1!C276)&gt;1,"Q","A"))</f>
        <v/>
      </c>
      <c r="B279" s="3" t="str">
        <f>IF(LEN(A279)&lt;1,"",Sheet1!P276)</f>
        <v/>
      </c>
      <c r="C279" s="3" t="str">
        <f>IF(LEN(A279)&lt;1,"",Sheet1!X276)</f>
        <v/>
      </c>
      <c r="E279" s="3" t="str">
        <f>IF(LEN(A279)&lt;1,"",Sheet1!M276)</f>
        <v/>
      </c>
      <c r="F279" s="3" t="str">
        <f>IF(ISBLANK(A279),"",Sheet1!N276)</f>
        <v/>
      </c>
      <c r="G279" s="3" t="str">
        <f>IF(ISBLANK(A279),"",Sheet1!O276)</f>
        <v/>
      </c>
      <c r="H279" s="3" t="str">
        <f t="shared" si="16"/>
        <v/>
      </c>
      <c r="I279" s="3" t="str">
        <f t="shared" si="17"/>
        <v/>
      </c>
      <c r="J279" s="3" t="str">
        <f t="shared" si="18"/>
        <v/>
      </c>
      <c r="K279" s="3" t="str">
        <f t="shared" si="19"/>
        <v/>
      </c>
    </row>
    <row r="280" spans="1:11">
      <c r="A280" s="3" t="str">
        <f>IF(LEN(Sheet1!C277)&lt;1,"",IF(LEN(Sheet1!C277)&gt;1,"Q","A"))</f>
        <v/>
      </c>
      <c r="B280" s="3" t="str">
        <f>IF(LEN(A280)&lt;1,"",Sheet1!P277)</f>
        <v/>
      </c>
      <c r="C280" s="3" t="str">
        <f>IF(LEN(A280)&lt;1,"",Sheet1!X277)</f>
        <v/>
      </c>
      <c r="E280" s="3" t="str">
        <f>IF(LEN(A280)&lt;1,"",Sheet1!M277)</f>
        <v/>
      </c>
      <c r="F280" s="3" t="str">
        <f>IF(ISBLANK(A280),"",Sheet1!N277)</f>
        <v/>
      </c>
      <c r="G280" s="3" t="str">
        <f>IF(ISBLANK(A280),"",Sheet1!O277)</f>
        <v/>
      </c>
      <c r="H280" s="3" t="str">
        <f t="shared" si="16"/>
        <v/>
      </c>
      <c r="I280" s="3" t="str">
        <f t="shared" si="17"/>
        <v/>
      </c>
      <c r="J280" s="3" t="str">
        <f t="shared" si="18"/>
        <v/>
      </c>
      <c r="K280" s="3" t="str">
        <f t="shared" si="19"/>
        <v/>
      </c>
    </row>
    <row r="281" spans="1:11">
      <c r="A281" s="3" t="str">
        <f>IF(LEN(Sheet1!C278)&lt;1,"",IF(LEN(Sheet1!C278)&gt;1,"Q","A"))</f>
        <v/>
      </c>
      <c r="B281" s="3" t="str">
        <f>IF(LEN(A281)&lt;1,"",Sheet1!P278)</f>
        <v/>
      </c>
      <c r="C281" s="3" t="str">
        <f>IF(LEN(A281)&lt;1,"",Sheet1!X278)</f>
        <v/>
      </c>
      <c r="E281" s="3" t="str">
        <f>IF(LEN(A281)&lt;1,"",Sheet1!M278)</f>
        <v/>
      </c>
      <c r="F281" s="3" t="str">
        <f>IF(ISBLANK(A281),"",Sheet1!N278)</f>
        <v/>
      </c>
      <c r="G281" s="3" t="str">
        <f>IF(ISBLANK(A281),"",Sheet1!O278)</f>
        <v/>
      </c>
      <c r="H281" s="3" t="str">
        <f t="shared" si="16"/>
        <v/>
      </c>
      <c r="I281" s="3" t="str">
        <f t="shared" si="17"/>
        <v/>
      </c>
      <c r="J281" s="3" t="str">
        <f t="shared" si="18"/>
        <v/>
      </c>
      <c r="K281" s="3" t="str">
        <f t="shared" si="19"/>
        <v/>
      </c>
    </row>
    <row r="282" spans="1:11">
      <c r="A282" s="3" t="str">
        <f>IF(LEN(Sheet1!C279)&lt;1,"",IF(LEN(Sheet1!C279)&gt;1,"Q","A"))</f>
        <v/>
      </c>
      <c r="B282" s="3" t="str">
        <f>IF(LEN(A282)&lt;1,"",Sheet1!P279)</f>
        <v/>
      </c>
      <c r="C282" s="3" t="str">
        <f>IF(LEN(A282)&lt;1,"",Sheet1!X279)</f>
        <v/>
      </c>
      <c r="E282" s="3" t="str">
        <f>IF(LEN(A282)&lt;1,"",Sheet1!M279)</f>
        <v/>
      </c>
      <c r="F282" s="3" t="str">
        <f>IF(ISBLANK(A282),"",Sheet1!N279)</f>
        <v/>
      </c>
      <c r="G282" s="3" t="str">
        <f>IF(ISBLANK(A282),"",Sheet1!O279)</f>
        <v/>
      </c>
      <c r="H282" s="3" t="str">
        <f t="shared" si="16"/>
        <v/>
      </c>
      <c r="I282" s="3" t="str">
        <f t="shared" si="17"/>
        <v/>
      </c>
      <c r="J282" s="3" t="str">
        <f t="shared" si="18"/>
        <v/>
      </c>
      <c r="K282" s="3" t="str">
        <f t="shared" si="19"/>
        <v/>
      </c>
    </row>
    <row r="283" spans="1:11">
      <c r="A283" s="3" t="str">
        <f>IF(LEN(Sheet1!C280)&lt;1,"",IF(LEN(Sheet1!C280)&gt;1,"Q","A"))</f>
        <v/>
      </c>
      <c r="B283" s="3" t="str">
        <f>IF(LEN(A283)&lt;1,"",Sheet1!P280)</f>
        <v/>
      </c>
      <c r="C283" s="3" t="str">
        <f>IF(LEN(A283)&lt;1,"",Sheet1!X280)</f>
        <v/>
      </c>
      <c r="E283" s="3" t="str">
        <f>IF(LEN(A283)&lt;1,"",Sheet1!M280)</f>
        <v/>
      </c>
      <c r="F283" s="3" t="str">
        <f>IF(ISBLANK(A283),"",Sheet1!N280)</f>
        <v/>
      </c>
      <c r="G283" s="3" t="str">
        <f>IF(ISBLANK(A283),"",Sheet1!O280)</f>
        <v/>
      </c>
      <c r="H283" s="3" t="str">
        <f t="shared" si="16"/>
        <v/>
      </c>
      <c r="I283" s="3" t="str">
        <f t="shared" si="17"/>
        <v/>
      </c>
      <c r="J283" s="3" t="str">
        <f t="shared" si="18"/>
        <v/>
      </c>
      <c r="K283" s="3" t="str">
        <f t="shared" si="19"/>
        <v/>
      </c>
    </row>
    <row r="284" spans="1:11">
      <c r="A284" s="3" t="str">
        <f>IF(LEN(Sheet1!C281)&lt;1,"",IF(LEN(Sheet1!C281)&gt;1,"Q","A"))</f>
        <v/>
      </c>
      <c r="B284" s="3" t="str">
        <f>IF(LEN(A284)&lt;1,"",Sheet1!P281)</f>
        <v/>
      </c>
      <c r="C284" s="3" t="str">
        <f>IF(LEN(A284)&lt;1,"",Sheet1!X281)</f>
        <v/>
      </c>
      <c r="E284" s="3" t="str">
        <f>IF(LEN(A284)&lt;1,"",Sheet1!M281)</f>
        <v/>
      </c>
      <c r="F284" s="3" t="str">
        <f>IF(ISBLANK(A284),"",Sheet1!N281)</f>
        <v/>
      </c>
      <c r="G284" s="3" t="str">
        <f>IF(ISBLANK(A284),"",Sheet1!O281)</f>
        <v/>
      </c>
      <c r="H284" s="3" t="str">
        <f t="shared" si="16"/>
        <v/>
      </c>
      <c r="I284" s="3" t="str">
        <f t="shared" si="17"/>
        <v/>
      </c>
      <c r="J284" s="3" t="str">
        <f t="shared" si="18"/>
        <v/>
      </c>
      <c r="K284" s="3" t="str">
        <f t="shared" si="19"/>
        <v/>
      </c>
    </row>
    <row r="285" spans="1:11">
      <c r="A285" s="3" t="str">
        <f>IF(LEN(Sheet1!C282)&lt;1,"",IF(LEN(Sheet1!C282)&gt;1,"Q","A"))</f>
        <v/>
      </c>
      <c r="B285" s="3" t="str">
        <f>IF(LEN(A285)&lt;1,"",Sheet1!P282)</f>
        <v/>
      </c>
      <c r="C285" s="3" t="str">
        <f>IF(LEN(A285)&lt;1,"",Sheet1!X282)</f>
        <v/>
      </c>
      <c r="E285" s="3" t="str">
        <f>IF(LEN(A285)&lt;1,"",Sheet1!M282)</f>
        <v/>
      </c>
      <c r="F285" s="3" t="str">
        <f>IF(ISBLANK(A285),"",Sheet1!N282)</f>
        <v/>
      </c>
      <c r="G285" s="3" t="str">
        <f>IF(ISBLANK(A285),"",Sheet1!O282)</f>
        <v/>
      </c>
      <c r="H285" s="3" t="str">
        <f t="shared" si="16"/>
        <v/>
      </c>
      <c r="I285" s="3" t="str">
        <f t="shared" si="17"/>
        <v/>
      </c>
      <c r="J285" s="3" t="str">
        <f t="shared" si="18"/>
        <v/>
      </c>
      <c r="K285" s="3" t="str">
        <f t="shared" si="19"/>
        <v/>
      </c>
    </row>
    <row r="286" spans="1:11">
      <c r="A286" s="3" t="str">
        <f>IF(LEN(Sheet1!C283)&lt;1,"",IF(LEN(Sheet1!C283)&gt;1,"Q","A"))</f>
        <v/>
      </c>
      <c r="B286" s="3" t="str">
        <f>IF(LEN(A286)&lt;1,"",Sheet1!P283)</f>
        <v/>
      </c>
      <c r="C286" s="3" t="str">
        <f>IF(LEN(A286)&lt;1,"",Sheet1!X283)</f>
        <v/>
      </c>
      <c r="E286" s="3" t="str">
        <f>IF(LEN(A286)&lt;1,"",Sheet1!M283)</f>
        <v/>
      </c>
      <c r="F286" s="3" t="str">
        <f>IF(ISBLANK(A286),"",Sheet1!N283)</f>
        <v/>
      </c>
      <c r="G286" s="3" t="str">
        <f>IF(ISBLANK(A286),"",Sheet1!O283)</f>
        <v/>
      </c>
      <c r="H286" s="3" t="str">
        <f t="shared" si="16"/>
        <v/>
      </c>
      <c r="I286" s="3" t="str">
        <f t="shared" si="17"/>
        <v/>
      </c>
      <c r="J286" s="3" t="str">
        <f t="shared" si="18"/>
        <v/>
      </c>
      <c r="K286" s="3" t="str">
        <f t="shared" si="19"/>
        <v/>
      </c>
    </row>
    <row r="287" spans="1:11">
      <c r="A287" s="3" t="str">
        <f>IF(LEN(Sheet1!C284)&lt;1,"",IF(LEN(Sheet1!C284)&gt;1,"Q","A"))</f>
        <v/>
      </c>
      <c r="B287" s="3" t="str">
        <f>IF(LEN(A287)&lt;1,"",Sheet1!P284)</f>
        <v/>
      </c>
      <c r="C287" s="3" t="str">
        <f>IF(LEN(A287)&lt;1,"",Sheet1!X284)</f>
        <v/>
      </c>
      <c r="E287" s="3" t="str">
        <f>IF(LEN(A287)&lt;1,"",Sheet1!M284)</f>
        <v/>
      </c>
      <c r="F287" s="3" t="str">
        <f>IF(ISBLANK(A287),"",Sheet1!N284)</f>
        <v/>
      </c>
      <c r="G287" s="3" t="str">
        <f>IF(ISBLANK(A287),"",Sheet1!O284)</f>
        <v/>
      </c>
      <c r="H287" s="3" t="str">
        <f t="shared" si="16"/>
        <v/>
      </c>
      <c r="I287" s="3" t="str">
        <f t="shared" si="17"/>
        <v/>
      </c>
      <c r="J287" s="3" t="str">
        <f t="shared" si="18"/>
        <v/>
      </c>
      <c r="K287" s="3" t="str">
        <f t="shared" si="19"/>
        <v/>
      </c>
    </row>
    <row r="288" spans="1:11">
      <c r="A288" s="3" t="str">
        <f>IF(LEN(Sheet1!C285)&lt;1,"",IF(LEN(Sheet1!C285)&gt;1,"Q","A"))</f>
        <v/>
      </c>
      <c r="B288" s="3" t="str">
        <f>IF(LEN(A288)&lt;1,"",Sheet1!P285)</f>
        <v/>
      </c>
      <c r="C288" s="3" t="str">
        <f>IF(LEN(A288)&lt;1,"",Sheet1!X285)</f>
        <v/>
      </c>
      <c r="E288" s="3" t="str">
        <f>IF(LEN(A288)&lt;1,"",Sheet1!M285)</f>
        <v/>
      </c>
      <c r="F288" s="3" t="str">
        <f>IF(ISBLANK(A288),"",Sheet1!N285)</f>
        <v/>
      </c>
      <c r="G288" s="3" t="str">
        <f>IF(ISBLANK(A288),"",Sheet1!O285)</f>
        <v/>
      </c>
      <c r="H288" s="3" t="str">
        <f t="shared" si="16"/>
        <v/>
      </c>
      <c r="I288" s="3" t="str">
        <f t="shared" si="17"/>
        <v/>
      </c>
      <c r="J288" s="3" t="str">
        <f t="shared" si="18"/>
        <v/>
      </c>
      <c r="K288" s="3" t="str">
        <f t="shared" si="19"/>
        <v/>
      </c>
    </row>
    <row r="289" spans="1:11">
      <c r="A289" s="3" t="str">
        <f>IF(LEN(Sheet1!C286)&lt;1,"",IF(LEN(Sheet1!C286)&gt;1,"Q","A"))</f>
        <v/>
      </c>
      <c r="B289" s="3" t="str">
        <f>IF(LEN(A289)&lt;1,"",Sheet1!P286)</f>
        <v/>
      </c>
      <c r="C289" s="3" t="str">
        <f>IF(LEN(A289)&lt;1,"",Sheet1!X286)</f>
        <v/>
      </c>
      <c r="E289" s="3" t="str">
        <f>IF(LEN(A289)&lt;1,"",Sheet1!M286)</f>
        <v/>
      </c>
      <c r="F289" s="3" t="str">
        <f>IF(ISBLANK(A289),"",Sheet1!N286)</f>
        <v/>
      </c>
      <c r="G289" s="3" t="str">
        <f>IF(ISBLANK(A289),"",Sheet1!O286)</f>
        <v/>
      </c>
      <c r="H289" s="3" t="str">
        <f t="shared" si="16"/>
        <v/>
      </c>
      <c r="I289" s="3" t="str">
        <f t="shared" si="17"/>
        <v/>
      </c>
      <c r="J289" s="3" t="str">
        <f t="shared" si="18"/>
        <v/>
      </c>
      <c r="K289" s="3" t="str">
        <f t="shared" si="19"/>
        <v/>
      </c>
    </row>
    <row r="290" spans="1:11">
      <c r="A290" s="3" t="str">
        <f>IF(LEN(Sheet1!C287)&lt;1,"",IF(LEN(Sheet1!C287)&gt;1,"Q","A"))</f>
        <v/>
      </c>
      <c r="B290" s="3" t="str">
        <f>IF(LEN(A290)&lt;1,"",Sheet1!P287)</f>
        <v/>
      </c>
      <c r="C290" s="3" t="str">
        <f>IF(LEN(A290)&lt;1,"",Sheet1!X287)</f>
        <v/>
      </c>
      <c r="E290" s="3" t="str">
        <f>IF(LEN(A290)&lt;1,"",Sheet1!M287)</f>
        <v/>
      </c>
      <c r="F290" s="3" t="str">
        <f>IF(ISBLANK(A290),"",Sheet1!N287)</f>
        <v/>
      </c>
      <c r="G290" s="3" t="str">
        <f>IF(ISBLANK(A290),"",Sheet1!O287)</f>
        <v/>
      </c>
      <c r="H290" s="3" t="str">
        <f t="shared" si="16"/>
        <v/>
      </c>
      <c r="I290" s="3" t="str">
        <f t="shared" si="17"/>
        <v/>
      </c>
      <c r="J290" s="3" t="str">
        <f t="shared" si="18"/>
        <v/>
      </c>
      <c r="K290" s="3" t="str">
        <f t="shared" si="19"/>
        <v/>
      </c>
    </row>
    <row r="291" spans="1:11">
      <c r="A291" s="3" t="str">
        <f>IF(LEN(Sheet1!C288)&lt;1,"",IF(LEN(Sheet1!C288)&gt;1,"Q","A"))</f>
        <v/>
      </c>
      <c r="B291" s="3" t="str">
        <f>IF(LEN(A291)&lt;1,"",Sheet1!P288)</f>
        <v/>
      </c>
      <c r="C291" s="3" t="str">
        <f>IF(LEN(A291)&lt;1,"",Sheet1!X288)</f>
        <v/>
      </c>
      <c r="E291" s="3" t="str">
        <f>IF(LEN(A291)&lt;1,"",Sheet1!M288)</f>
        <v/>
      </c>
      <c r="F291" s="3" t="str">
        <f>IF(ISBLANK(A291),"",Sheet1!N288)</f>
        <v/>
      </c>
      <c r="G291" s="3" t="str">
        <f>IF(ISBLANK(A291),"",Sheet1!O288)</f>
        <v/>
      </c>
      <c r="H291" s="3" t="str">
        <f t="shared" si="16"/>
        <v/>
      </c>
      <c r="I291" s="3" t="str">
        <f t="shared" si="17"/>
        <v/>
      </c>
      <c r="J291" s="3" t="str">
        <f t="shared" si="18"/>
        <v/>
      </c>
      <c r="K291" s="3" t="str">
        <f t="shared" si="19"/>
        <v/>
      </c>
    </row>
    <row r="292" spans="1:11">
      <c r="A292" s="3" t="str">
        <f>IF(LEN(Sheet1!C289)&lt;1,"",IF(LEN(Sheet1!C289)&gt;1,"Q","A"))</f>
        <v/>
      </c>
      <c r="B292" s="3" t="str">
        <f>IF(LEN(A292)&lt;1,"",Sheet1!P289)</f>
        <v/>
      </c>
      <c r="C292" s="3" t="str">
        <f>IF(LEN(A292)&lt;1,"",Sheet1!X289)</f>
        <v/>
      </c>
      <c r="E292" s="3" t="str">
        <f>IF(LEN(A292)&lt;1,"",Sheet1!M289)</f>
        <v/>
      </c>
      <c r="F292" s="3" t="str">
        <f>IF(ISBLANK(A292),"",Sheet1!N289)</f>
        <v/>
      </c>
      <c r="G292" s="3" t="str">
        <f>IF(ISBLANK(A292),"",Sheet1!O289)</f>
        <v/>
      </c>
      <c r="H292" s="3" t="str">
        <f t="shared" si="16"/>
        <v/>
      </c>
      <c r="I292" s="3" t="str">
        <f t="shared" si="17"/>
        <v/>
      </c>
      <c r="J292" s="3" t="str">
        <f t="shared" si="18"/>
        <v/>
      </c>
      <c r="K292" s="3" t="str">
        <f t="shared" si="19"/>
        <v/>
      </c>
    </row>
    <row r="293" spans="1:11">
      <c r="A293" s="3" t="str">
        <f>IF(LEN(Sheet1!C290)&lt;1,"",IF(LEN(Sheet1!C290)&gt;1,"Q","A"))</f>
        <v/>
      </c>
      <c r="B293" s="3" t="str">
        <f>IF(LEN(A293)&lt;1,"",Sheet1!P290)</f>
        <v/>
      </c>
      <c r="C293" s="3" t="str">
        <f>IF(LEN(A293)&lt;1,"",Sheet1!X290)</f>
        <v/>
      </c>
      <c r="E293" s="3" t="str">
        <f>IF(LEN(A293)&lt;1,"",Sheet1!M290)</f>
        <v/>
      </c>
      <c r="F293" s="3" t="str">
        <f>IF(ISBLANK(A293),"",Sheet1!N290)</f>
        <v/>
      </c>
      <c r="G293" s="3" t="str">
        <f>IF(ISBLANK(A293),"",Sheet1!O290)</f>
        <v/>
      </c>
      <c r="H293" s="3" t="str">
        <f t="shared" si="16"/>
        <v/>
      </c>
      <c r="I293" s="3" t="str">
        <f t="shared" si="17"/>
        <v/>
      </c>
      <c r="J293" s="3" t="str">
        <f t="shared" si="18"/>
        <v/>
      </c>
      <c r="K293" s="3" t="str">
        <f t="shared" si="19"/>
        <v/>
      </c>
    </row>
    <row r="294" spans="1:11">
      <c r="A294" s="3" t="str">
        <f>IF(LEN(Sheet1!C291)&lt;1,"",IF(LEN(Sheet1!C291)&gt;1,"Q","A"))</f>
        <v/>
      </c>
      <c r="B294" s="3" t="str">
        <f>IF(LEN(A294)&lt;1,"",Sheet1!P291)</f>
        <v/>
      </c>
      <c r="C294" s="3" t="str">
        <f>IF(LEN(A294)&lt;1,"",Sheet1!X291)</f>
        <v/>
      </c>
      <c r="E294" s="3" t="str">
        <f>IF(LEN(A294)&lt;1,"",Sheet1!M291)</f>
        <v/>
      </c>
      <c r="F294" s="3" t="str">
        <f>IF(ISBLANK(A294),"",Sheet1!N291)</f>
        <v/>
      </c>
      <c r="G294" s="3" t="str">
        <f>IF(ISBLANK(A294),"",Sheet1!O291)</f>
        <v/>
      </c>
      <c r="H294" s="3" t="str">
        <f t="shared" si="16"/>
        <v/>
      </c>
      <c r="I294" s="3" t="str">
        <f t="shared" si="17"/>
        <v/>
      </c>
      <c r="J294" s="3" t="str">
        <f t="shared" si="18"/>
        <v/>
      </c>
      <c r="K294" s="3" t="str">
        <f t="shared" si="19"/>
        <v/>
      </c>
    </row>
    <row r="295" spans="1:11">
      <c r="A295" s="3" t="str">
        <f>IF(LEN(Sheet1!C292)&lt;1,"",IF(LEN(Sheet1!C292)&gt;1,"Q","A"))</f>
        <v/>
      </c>
      <c r="B295" s="3" t="str">
        <f>IF(LEN(A295)&lt;1,"",Sheet1!P292)</f>
        <v/>
      </c>
      <c r="C295" s="3" t="str">
        <f>IF(LEN(A295)&lt;1,"",Sheet1!X292)</f>
        <v/>
      </c>
      <c r="E295" s="3" t="str">
        <f>IF(LEN(A295)&lt;1,"",Sheet1!M292)</f>
        <v/>
      </c>
      <c r="F295" s="3" t="str">
        <f>IF(ISBLANK(A295),"",Sheet1!N292)</f>
        <v/>
      </c>
      <c r="G295" s="3" t="str">
        <f>IF(ISBLANK(A295),"",Sheet1!O292)</f>
        <v/>
      </c>
      <c r="H295" s="3" t="str">
        <f t="shared" si="16"/>
        <v/>
      </c>
      <c r="I295" s="3" t="str">
        <f t="shared" si="17"/>
        <v/>
      </c>
      <c r="J295" s="3" t="str">
        <f t="shared" si="18"/>
        <v/>
      </c>
      <c r="K295" s="3" t="str">
        <f t="shared" si="19"/>
        <v/>
      </c>
    </row>
    <row r="296" spans="1:11">
      <c r="A296" s="3" t="str">
        <f>IF(LEN(Sheet1!C293)&lt;1,"",IF(LEN(Sheet1!C293)&gt;1,"Q","A"))</f>
        <v/>
      </c>
      <c r="B296" s="3" t="str">
        <f>IF(LEN(A296)&lt;1,"",Sheet1!P293)</f>
        <v/>
      </c>
      <c r="C296" s="3" t="str">
        <f>IF(LEN(A296)&lt;1,"",Sheet1!X293)</f>
        <v/>
      </c>
      <c r="E296" s="3" t="str">
        <f>IF(LEN(A296)&lt;1,"",Sheet1!M293)</f>
        <v/>
      </c>
      <c r="F296" s="3" t="str">
        <f>IF(ISBLANK(A296),"",Sheet1!N293)</f>
        <v/>
      </c>
      <c r="G296" s="3" t="str">
        <f>IF(ISBLANK(A296),"",Sheet1!O293)</f>
        <v/>
      </c>
      <c r="H296" s="3" t="str">
        <f t="shared" si="16"/>
        <v/>
      </c>
      <c r="I296" s="3" t="str">
        <f t="shared" si="17"/>
        <v/>
      </c>
      <c r="J296" s="3" t="str">
        <f t="shared" si="18"/>
        <v/>
      </c>
      <c r="K296" s="3" t="str">
        <f t="shared" si="19"/>
        <v/>
      </c>
    </row>
    <row r="297" spans="1:11">
      <c r="A297" s="3" t="str">
        <f>IF(LEN(Sheet1!C294)&lt;1,"",IF(LEN(Sheet1!C294)&gt;1,"Q","A"))</f>
        <v/>
      </c>
      <c r="B297" s="3" t="str">
        <f>IF(LEN(A297)&lt;1,"",Sheet1!P294)</f>
        <v/>
      </c>
      <c r="C297" s="3" t="str">
        <f>IF(LEN(A297)&lt;1,"",Sheet1!X294)</f>
        <v/>
      </c>
      <c r="E297" s="3" t="str">
        <f>IF(LEN(A297)&lt;1,"",Sheet1!M294)</f>
        <v/>
      </c>
      <c r="F297" s="3" t="str">
        <f>IF(ISBLANK(A297),"",Sheet1!N294)</f>
        <v/>
      </c>
      <c r="G297" s="3" t="str">
        <f>IF(ISBLANK(A297),"",Sheet1!O294)</f>
        <v/>
      </c>
      <c r="H297" s="3" t="str">
        <f t="shared" si="16"/>
        <v/>
      </c>
      <c r="I297" s="3" t="str">
        <f t="shared" si="17"/>
        <v/>
      </c>
      <c r="J297" s="3" t="str">
        <f t="shared" si="18"/>
        <v/>
      </c>
      <c r="K297" s="3" t="str">
        <f t="shared" si="19"/>
        <v/>
      </c>
    </row>
    <row r="298" spans="1:11">
      <c r="A298" s="3" t="str">
        <f>IF(LEN(Sheet1!C295)&lt;1,"",IF(LEN(Sheet1!C295)&gt;1,"Q","A"))</f>
        <v/>
      </c>
      <c r="B298" s="3" t="str">
        <f>IF(LEN(A298)&lt;1,"",Sheet1!P295)</f>
        <v/>
      </c>
      <c r="C298" s="3" t="str">
        <f>IF(LEN(A298)&lt;1,"",Sheet1!X295)</f>
        <v/>
      </c>
      <c r="E298" s="3" t="str">
        <f>IF(LEN(A298)&lt;1,"",Sheet1!M295)</f>
        <v/>
      </c>
      <c r="F298" s="3" t="str">
        <f>IF(ISBLANK(A298),"",Sheet1!N295)</f>
        <v/>
      </c>
      <c r="G298" s="3" t="str">
        <f>IF(ISBLANK(A298),"",Sheet1!O295)</f>
        <v/>
      </c>
      <c r="H298" s="3" t="str">
        <f t="shared" si="16"/>
        <v/>
      </c>
      <c r="I298" s="3" t="str">
        <f t="shared" si="17"/>
        <v/>
      </c>
      <c r="J298" s="3" t="str">
        <f t="shared" si="18"/>
        <v/>
      </c>
      <c r="K298" s="3" t="str">
        <f t="shared" si="19"/>
        <v/>
      </c>
    </row>
    <row r="299" spans="1:11">
      <c r="A299" s="3" t="str">
        <f>IF(LEN(Sheet1!C296)&lt;1,"",IF(LEN(Sheet1!C296)&gt;1,"Q","A"))</f>
        <v/>
      </c>
      <c r="B299" s="3" t="str">
        <f>IF(LEN(A299)&lt;1,"",Sheet1!P296)</f>
        <v/>
      </c>
      <c r="C299" s="3" t="str">
        <f>IF(LEN(A299)&lt;1,"",Sheet1!X296)</f>
        <v/>
      </c>
      <c r="E299" s="3" t="str">
        <f>IF(LEN(A299)&lt;1,"",Sheet1!M296)</f>
        <v/>
      </c>
      <c r="F299" s="3" t="str">
        <f>IF(ISBLANK(A299),"",Sheet1!N296)</f>
        <v/>
      </c>
      <c r="G299" s="3" t="str">
        <f>IF(ISBLANK(A299),"",Sheet1!O296)</f>
        <v/>
      </c>
      <c r="H299" s="3" t="str">
        <f t="shared" si="16"/>
        <v/>
      </c>
      <c r="I299" s="3" t="str">
        <f t="shared" si="17"/>
        <v/>
      </c>
      <c r="J299" s="3" t="str">
        <f t="shared" si="18"/>
        <v/>
      </c>
      <c r="K299" s="3" t="str">
        <f t="shared" si="19"/>
        <v/>
      </c>
    </row>
    <row r="300" spans="1:11">
      <c r="A300" s="3" t="str">
        <f>IF(LEN(Sheet1!C297)&lt;1,"",IF(LEN(Sheet1!C297)&gt;1,"Q","A"))</f>
        <v/>
      </c>
      <c r="B300" s="3" t="str">
        <f>IF(LEN(A300)&lt;1,"",Sheet1!P297)</f>
        <v/>
      </c>
      <c r="C300" s="3" t="str">
        <f>IF(LEN(A300)&lt;1,"",Sheet1!X297)</f>
        <v/>
      </c>
      <c r="E300" s="3" t="str">
        <f>IF(LEN(A300)&lt;1,"",Sheet1!M297)</f>
        <v/>
      </c>
      <c r="F300" s="3" t="str">
        <f>IF(ISBLANK(A300),"",Sheet1!N297)</f>
        <v/>
      </c>
      <c r="G300" s="3" t="str">
        <f>IF(ISBLANK(A300),"",Sheet1!O297)</f>
        <v/>
      </c>
      <c r="H300" s="3" t="str">
        <f t="shared" si="16"/>
        <v/>
      </c>
      <c r="I300" s="3" t="str">
        <f t="shared" si="17"/>
        <v/>
      </c>
      <c r="J300" s="3" t="str">
        <f t="shared" si="18"/>
        <v/>
      </c>
      <c r="K300" s="3" t="str">
        <f t="shared" si="19"/>
        <v/>
      </c>
    </row>
    <row r="301" spans="1:11">
      <c r="A301" s="3" t="str">
        <f>IF(LEN(Sheet1!C298)&lt;1,"",IF(LEN(Sheet1!C298)&gt;1,"Q","A"))</f>
        <v/>
      </c>
      <c r="B301" s="3" t="str">
        <f>IF(LEN(A301)&lt;1,"",Sheet1!P298)</f>
        <v/>
      </c>
      <c r="C301" s="3" t="str">
        <f>IF(LEN(A301)&lt;1,"",Sheet1!X298)</f>
        <v/>
      </c>
      <c r="E301" s="3" t="str">
        <f>IF(LEN(A301)&lt;1,"",Sheet1!M298)</f>
        <v/>
      </c>
      <c r="F301" s="3" t="str">
        <f>IF(ISBLANK(A301),"",Sheet1!N298)</f>
        <v/>
      </c>
      <c r="G301" s="3" t="str">
        <f>IF(ISBLANK(A301),"",Sheet1!O298)</f>
        <v/>
      </c>
      <c r="H301" s="3" t="str">
        <f t="shared" si="16"/>
        <v/>
      </c>
      <c r="I301" s="3" t="str">
        <f t="shared" si="17"/>
        <v/>
      </c>
      <c r="J301" s="3" t="str">
        <f t="shared" si="18"/>
        <v/>
      </c>
      <c r="K301" s="3" t="str">
        <f t="shared" si="19"/>
        <v/>
      </c>
    </row>
    <row r="302" spans="1:11">
      <c r="A302" s="3" t="str">
        <f>IF(LEN(Sheet1!C299)&lt;1,"",IF(LEN(Sheet1!C299)&gt;1,"Q","A"))</f>
        <v/>
      </c>
      <c r="B302" s="3" t="str">
        <f>IF(LEN(A302)&lt;1,"",Sheet1!P299)</f>
        <v/>
      </c>
      <c r="C302" s="3" t="str">
        <f>IF(LEN(A302)&lt;1,"",Sheet1!X299)</f>
        <v/>
      </c>
      <c r="E302" s="3" t="str">
        <f>IF(LEN(A302)&lt;1,"",Sheet1!M299)</f>
        <v/>
      </c>
      <c r="F302" s="3" t="str">
        <f>IF(ISBLANK(A302),"",Sheet1!N299)</f>
        <v/>
      </c>
      <c r="G302" s="3" t="str">
        <f>IF(ISBLANK(A302),"",Sheet1!O299)</f>
        <v/>
      </c>
      <c r="H302" s="3" t="str">
        <f t="shared" si="16"/>
        <v/>
      </c>
      <c r="I302" s="3" t="str">
        <f t="shared" si="17"/>
        <v/>
      </c>
      <c r="J302" s="3" t="str">
        <f t="shared" si="18"/>
        <v/>
      </c>
      <c r="K302" s="3" t="str">
        <f t="shared" si="19"/>
        <v/>
      </c>
    </row>
    <row r="303" spans="1:11">
      <c r="A303" s="3" t="str">
        <f>IF(LEN(Sheet1!C300)&lt;1,"",IF(LEN(Sheet1!C300)&gt;1,"Q","A"))</f>
        <v/>
      </c>
      <c r="B303" s="3" t="str">
        <f>IF(LEN(A303)&lt;1,"",Sheet1!P300)</f>
        <v/>
      </c>
      <c r="C303" s="3" t="str">
        <f>IF(LEN(A303)&lt;1,"",Sheet1!X300)</f>
        <v/>
      </c>
      <c r="E303" s="3" t="str">
        <f>IF(LEN(A303)&lt;1,"",Sheet1!M300)</f>
        <v/>
      </c>
      <c r="F303" s="3" t="str">
        <f>IF(ISBLANK(A303),"",Sheet1!N300)</f>
        <v/>
      </c>
      <c r="G303" s="3" t="str">
        <f>IF(ISBLANK(A303),"",Sheet1!O300)</f>
        <v/>
      </c>
      <c r="H303" s="3" t="str">
        <f t="shared" si="16"/>
        <v/>
      </c>
      <c r="I303" s="3" t="str">
        <f t="shared" si="17"/>
        <v/>
      </c>
      <c r="J303" s="3" t="str">
        <f t="shared" si="18"/>
        <v/>
      </c>
      <c r="K303" s="3" t="str">
        <f t="shared" si="19"/>
        <v/>
      </c>
    </row>
    <row r="304" spans="1:11">
      <c r="A304" s="3" t="str">
        <f>IF(LEN(Sheet1!C301)&lt;1,"",IF(LEN(Sheet1!C301)&gt;1,"Q","A"))</f>
        <v/>
      </c>
      <c r="B304" s="3" t="str">
        <f>IF(LEN(A304)&lt;1,"",Sheet1!P301)</f>
        <v/>
      </c>
      <c r="C304" s="3" t="str">
        <f>IF(LEN(A304)&lt;1,"",Sheet1!X301)</f>
        <v/>
      </c>
      <c r="E304" s="3" t="str">
        <f>IF(LEN(A304)&lt;1,"",Sheet1!M301)</f>
        <v/>
      </c>
      <c r="F304" s="3" t="str">
        <f>IF(ISBLANK(A304),"",Sheet1!N301)</f>
        <v/>
      </c>
      <c r="G304" s="3" t="str">
        <f>IF(ISBLANK(A304),"",Sheet1!O301)</f>
        <v/>
      </c>
      <c r="H304" s="3" t="str">
        <f t="shared" si="16"/>
        <v/>
      </c>
      <c r="I304" s="3" t="str">
        <f t="shared" si="17"/>
        <v/>
      </c>
      <c r="J304" s="3" t="str">
        <f t="shared" si="18"/>
        <v/>
      </c>
      <c r="K304" s="3" t="str">
        <f t="shared" si="19"/>
        <v/>
      </c>
    </row>
    <row r="305" spans="1:11">
      <c r="A305" s="3" t="str">
        <f>IF(LEN(Sheet1!C302)&lt;1,"",IF(LEN(Sheet1!C302)&gt;1,"Q","A"))</f>
        <v/>
      </c>
      <c r="B305" s="3" t="str">
        <f>IF(LEN(A305)&lt;1,"",Sheet1!P302)</f>
        <v/>
      </c>
      <c r="C305" s="3" t="str">
        <f>IF(LEN(A305)&lt;1,"",Sheet1!X302)</f>
        <v/>
      </c>
      <c r="E305" s="3" t="str">
        <f>IF(LEN(A305)&lt;1,"",Sheet1!M302)</f>
        <v/>
      </c>
      <c r="F305" s="3" t="str">
        <f>IF(ISBLANK(A305),"",Sheet1!N302)</f>
        <v/>
      </c>
      <c r="G305" s="3" t="str">
        <f>IF(ISBLANK(A305),"",Sheet1!O302)</f>
        <v/>
      </c>
      <c r="H305" s="3" t="str">
        <f t="shared" si="16"/>
        <v/>
      </c>
      <c r="I305" s="3" t="str">
        <f t="shared" si="17"/>
        <v/>
      </c>
      <c r="J305" s="3" t="str">
        <f t="shared" si="18"/>
        <v/>
      </c>
      <c r="K305" s="3" t="str">
        <f t="shared" si="19"/>
        <v/>
      </c>
    </row>
    <row r="306" spans="1:11">
      <c r="A306" s="3" t="str">
        <f>IF(LEN(Sheet1!C303)&lt;1,"",IF(LEN(Sheet1!C303)&gt;1,"Q","A"))</f>
        <v/>
      </c>
      <c r="B306" s="3" t="str">
        <f>IF(LEN(A306)&lt;1,"",Sheet1!P303)</f>
        <v/>
      </c>
      <c r="C306" s="3" t="str">
        <f>IF(LEN(A306)&lt;1,"",Sheet1!X303)</f>
        <v/>
      </c>
      <c r="E306" s="3" t="str">
        <f>IF(LEN(A306)&lt;1,"",Sheet1!M303)</f>
        <v/>
      </c>
      <c r="F306" s="3" t="str">
        <f>IF(ISBLANK(A306),"",Sheet1!N303)</f>
        <v/>
      </c>
      <c r="G306" s="3" t="str">
        <f>IF(ISBLANK(A306),"",Sheet1!O303)</f>
        <v/>
      </c>
      <c r="H306" s="3" t="str">
        <f t="shared" si="16"/>
        <v/>
      </c>
      <c r="I306" s="3" t="str">
        <f t="shared" si="17"/>
        <v/>
      </c>
      <c r="J306" s="3" t="str">
        <f t="shared" si="18"/>
        <v/>
      </c>
      <c r="K306" s="3" t="str">
        <f t="shared" si="19"/>
        <v/>
      </c>
    </row>
    <row r="307" spans="1:11">
      <c r="A307" s="3" t="str">
        <f>IF(LEN(Sheet1!C304)&lt;1,"",IF(LEN(Sheet1!C304)&gt;1,"Q","A"))</f>
        <v/>
      </c>
      <c r="B307" s="3" t="str">
        <f>IF(LEN(A307)&lt;1,"",Sheet1!P304)</f>
        <v/>
      </c>
      <c r="C307" s="3" t="str">
        <f>IF(LEN(A307)&lt;1,"",Sheet1!X304)</f>
        <v/>
      </c>
      <c r="E307" s="3" t="str">
        <f>IF(LEN(A307)&lt;1,"",Sheet1!M304)</f>
        <v/>
      </c>
      <c r="F307" s="3" t="str">
        <f>IF(ISBLANK(A307),"",Sheet1!N304)</f>
        <v/>
      </c>
      <c r="G307" s="3" t="str">
        <f>IF(ISBLANK(A307),"",Sheet1!O304)</f>
        <v/>
      </c>
      <c r="H307" s="3" t="str">
        <f t="shared" si="16"/>
        <v/>
      </c>
      <c r="I307" s="3" t="str">
        <f t="shared" si="17"/>
        <v/>
      </c>
      <c r="J307" s="3" t="str">
        <f t="shared" si="18"/>
        <v/>
      </c>
      <c r="K307" s="3" t="str">
        <f t="shared" si="19"/>
        <v/>
      </c>
    </row>
  </sheetData>
  <sheetProtection password="D965"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
  <cols>
    <col min="1" max="1" width="88.7109375" customWidth="1"/>
    <col min="2" max="2" width="9.140625" customWidth="1"/>
  </cols>
  <sheetData>
    <row r="1" spans="1:1">
      <c r="A1" s="2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Company>HP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UNBK-GO 14</dc:creator>
  <cp:lastModifiedBy>UNBK-GO 14</cp:lastModifiedBy>
  <dcterms:created xsi:type="dcterms:W3CDTF">2021-05-05T21:54:46Z</dcterms:created>
  <dcterms:modified xsi:type="dcterms:W3CDTF">2021-05-17T09:26:19Z</dcterms:modified>
</cp:coreProperties>
</file>